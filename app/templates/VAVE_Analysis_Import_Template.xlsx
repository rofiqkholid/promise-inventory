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ebSource\PROMISE-APPS\promise-inventory\app\templates\"/>
    </mc:Choice>
  </mc:AlternateContent>
  <xr:revisionPtr revIDLastSave="0" documentId="13_ncr:1_{87777DD2-2CF9-4A7B-8C74-5492C4BDD6C3}" xr6:coauthVersionLast="47" xr6:coauthVersionMax="47" xr10:uidLastSave="{00000000-0000-0000-0000-000000000000}"/>
  <bookViews>
    <workbookView xWindow="-108" yWindow="-108" windowWidth="23256" windowHeight="12456" xr2:uid="{62AADBC6-8410-49F7-A504-0FB573E6F6A1}"/>
  </bookViews>
  <sheets>
    <sheet name="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">#REF!</definedName>
    <definedName name="\p">#REF!</definedName>
    <definedName name="_\A">#REF!</definedName>
    <definedName name="__\p" localSheetId="0">#REF!</definedName>
    <definedName name="___\A">#REF!</definedName>
    <definedName name="___\p">#REF!</definedName>
    <definedName name="____\p">#REF!</definedName>
    <definedName name="_______\p" localSheetId="0">#REF!</definedName>
    <definedName name="_______\p">#REF!</definedName>
    <definedName name="____APR10">[1]VOLUME!#REF!</definedName>
    <definedName name="____AUG08">[1]VOLUME!$C$13:$AA$13</definedName>
    <definedName name="____AUG09">[1]VOLUME!#REF!</definedName>
    <definedName name="____AUG10">[1]VOLUME!#REF!</definedName>
    <definedName name="____DEC08">[1]VOLUME!$C$17:$AA$17</definedName>
    <definedName name="____DEC09">[1]VOLUME!#REF!</definedName>
    <definedName name="____DEC10">[1]VOLUME!#REF!</definedName>
    <definedName name="____FEB08">[1]VOLUME!$C$7:$AA$7</definedName>
    <definedName name="____FEB09">[1]VOLUME!#REF!</definedName>
    <definedName name="____FEB10">[1]VOLUME!#REF!</definedName>
    <definedName name="____FEB11">[1]VOLUME!#REF!</definedName>
    <definedName name="____JAN08">[1]VOLUME!$C$6:$AA$6</definedName>
    <definedName name="____JAN09">[1]VOLUME!#REF!</definedName>
    <definedName name="____JAN10">[1]VOLUME!#REF!</definedName>
    <definedName name="____JAN11">[1]VOLUME!#REF!</definedName>
    <definedName name="____JUL08">[1]VOLUME!$C$12:$AA$12</definedName>
    <definedName name="____JUL09">[1]VOLUME!#REF!</definedName>
    <definedName name="____JUL10">[1]VOLUME!#REF!</definedName>
    <definedName name="____JUN08">[1]VOLUME!$C$11:$AA$11</definedName>
    <definedName name="____JUN09">[1]VOLUME!#REF!</definedName>
    <definedName name="____JUN10">[1]VOLUME!#REF!</definedName>
    <definedName name="____MAR08">[1]VOLUME!$C$8:$AA$8</definedName>
    <definedName name="____MAR09">[1]VOLUME!#REF!</definedName>
    <definedName name="____MAR10">[1]VOLUME!#REF!</definedName>
    <definedName name="____MAR11">[1]VOLUME!#REF!</definedName>
    <definedName name="____MAY08">[1]VOLUME!$C$10:$AA$10</definedName>
    <definedName name="____MAY09">[1]VOLUME!#REF!</definedName>
    <definedName name="____MAY10">[1]VOLUME!#REF!</definedName>
    <definedName name="____NOV08">[1]VOLUME!$C$16:$AA$16</definedName>
    <definedName name="____NOV09">[1]VOLUME!#REF!</definedName>
    <definedName name="____NOV10">[1]VOLUME!#REF!</definedName>
    <definedName name="____OCT08">[1]VOLUME!$C$15:$AA$15</definedName>
    <definedName name="____OCT09">[1]VOLUME!#REF!</definedName>
    <definedName name="____OCT10">[1]VOLUME!#REF!</definedName>
    <definedName name="____SEP08">[1]VOLUME!$C$14:$AA$14</definedName>
    <definedName name="____SEP09">[1]VOLUME!#REF!</definedName>
    <definedName name="____SEP10">[1]VOLUME!#REF!</definedName>
    <definedName name="___APR09">[1]VOLUME!#REF!</definedName>
    <definedName name="___APR10">[2]VOLUME!#REF!</definedName>
    <definedName name="___AUG08">[2]VOLUME!$C$13:$AA$13</definedName>
    <definedName name="___AUG09">[2]VOLUME!#REF!</definedName>
    <definedName name="___AUG10">[2]VOLUME!#REF!</definedName>
    <definedName name="___DEC08">[2]VOLUME!$C$17:$AA$17</definedName>
    <definedName name="___DEC09">[2]VOLUME!#REF!</definedName>
    <definedName name="___DEC10">[2]VOLUME!#REF!</definedName>
    <definedName name="___FEB08">[2]VOLUME!$C$7:$AA$7</definedName>
    <definedName name="___FEB09">[2]VOLUME!#REF!</definedName>
    <definedName name="___FEB10">[2]VOLUME!#REF!</definedName>
    <definedName name="___FEB11">[2]VOLUME!#REF!</definedName>
    <definedName name="___JAN08">[2]VOLUME!$C$6:$AA$6</definedName>
    <definedName name="___JAN09">[2]VOLUME!#REF!</definedName>
    <definedName name="___JAN10">[2]VOLUME!#REF!</definedName>
    <definedName name="___JAN11">[2]VOLUME!#REF!</definedName>
    <definedName name="___JUL08">[2]VOLUME!$C$12:$AA$12</definedName>
    <definedName name="___JUL09">[2]VOLUME!#REF!</definedName>
    <definedName name="___JUL10">[2]VOLUME!#REF!</definedName>
    <definedName name="___JUN08">[2]VOLUME!$C$11:$AA$11</definedName>
    <definedName name="___JUN09">[2]VOLUME!#REF!</definedName>
    <definedName name="___JUN10">[2]VOLUME!#REF!</definedName>
    <definedName name="___MAR08">[2]VOLUME!$C$8:$AA$8</definedName>
    <definedName name="___MAR09">[2]VOLUME!#REF!</definedName>
    <definedName name="___MAR10">[2]VOLUME!#REF!</definedName>
    <definedName name="___MAR11">[2]VOLUME!#REF!</definedName>
    <definedName name="___MAY08">[2]VOLUME!$C$10:$AA$10</definedName>
    <definedName name="___MAY09">[2]VOLUME!#REF!</definedName>
    <definedName name="___MAY10">[2]VOLUME!#REF!</definedName>
    <definedName name="___NOV08">[2]VOLUME!$C$16:$AA$16</definedName>
    <definedName name="___NOV09">[2]VOLUME!#REF!</definedName>
    <definedName name="___NOV10">[2]VOLUME!#REF!</definedName>
    <definedName name="___OCT08">[2]VOLUME!$C$15:$AA$15</definedName>
    <definedName name="___OCT09">[2]VOLUME!#REF!</definedName>
    <definedName name="___OCT10">[2]VOLUME!#REF!</definedName>
    <definedName name="___SEP08">[2]VOLUME!$C$14:$AA$14</definedName>
    <definedName name="___SEP09">[2]VOLUME!#REF!</definedName>
    <definedName name="___SEP10">[2]VOLUME!#REF!</definedName>
    <definedName name="__APR08">[1]VOLUME!$C$9:$AA$9</definedName>
    <definedName name="__APR09">[2]VOLUME!#REF!</definedName>
    <definedName name="__APR10">[2]VOLUME!#REF!</definedName>
    <definedName name="__AUG08">[2]VOLUME!$C$13:$AA$13</definedName>
    <definedName name="__AUG09">[2]VOLUME!#REF!</definedName>
    <definedName name="__AUG10">[2]VOLUME!#REF!</definedName>
    <definedName name="__DEC08">[2]VOLUME!$C$17:$AA$17</definedName>
    <definedName name="__DEC09">[2]VOLUME!#REF!</definedName>
    <definedName name="__DEC10">[2]VOLUME!#REF!</definedName>
    <definedName name="__FEB08">[2]VOLUME!$C$7:$AA$7</definedName>
    <definedName name="__FEB09">[2]VOLUME!#REF!</definedName>
    <definedName name="__FEB10">[2]VOLUME!#REF!</definedName>
    <definedName name="__FEB11">[2]VOLUME!#REF!</definedName>
    <definedName name="__JAN08">[2]VOLUME!$C$6:$AA$6</definedName>
    <definedName name="__JAN09">[2]VOLUME!#REF!</definedName>
    <definedName name="__JAN10">[2]VOLUME!#REF!</definedName>
    <definedName name="__JAN11">[2]VOLUME!#REF!</definedName>
    <definedName name="__JUL08">[2]VOLUME!$C$12:$AA$12</definedName>
    <definedName name="__JUL09">[2]VOLUME!#REF!</definedName>
    <definedName name="__JUL10">[2]VOLUME!#REF!</definedName>
    <definedName name="__JUN08">[2]VOLUME!$C$11:$AA$11</definedName>
    <definedName name="__JUN09">[2]VOLUME!#REF!</definedName>
    <definedName name="__JUN10">[2]VOLUME!#REF!</definedName>
    <definedName name="__MAR08">[2]VOLUME!$C$8:$AA$8</definedName>
    <definedName name="__MAR09">[2]VOLUME!#REF!</definedName>
    <definedName name="__MAR10">[2]VOLUME!#REF!</definedName>
    <definedName name="__MAR11">[2]VOLUME!#REF!</definedName>
    <definedName name="__MAY08">[2]VOLUME!$C$10:$AA$10</definedName>
    <definedName name="__MAY09">[2]VOLUME!#REF!</definedName>
    <definedName name="__MAY10">[2]VOLUME!#REF!</definedName>
    <definedName name="__NOV08">[2]VOLUME!$C$16:$AA$16</definedName>
    <definedName name="__NOV09">[2]VOLUME!#REF!</definedName>
    <definedName name="__NOV10">[2]VOLUME!#REF!</definedName>
    <definedName name="__OCT08">[2]VOLUME!$C$15:$AA$15</definedName>
    <definedName name="__OCT09">[2]VOLUME!#REF!</definedName>
    <definedName name="__OCT10">[2]VOLUME!#REF!</definedName>
    <definedName name="__SEP08">[2]VOLUME!$C$14:$AA$14</definedName>
    <definedName name="__SEP09">[2]VOLUME!#REF!</definedName>
    <definedName name="__SEP10">[2]VOLUME!#REF!</definedName>
    <definedName name="_1Excel_BuiltIn_Print_Area_2_1_1_1_1_1_1">"$#REF!.$#REF!$#REF!:$#REF!$#REF!"</definedName>
    <definedName name="_2Excel_BuiltIn_Print_Area_3_1_1_1_1_1_1">"$#REF!.$A$1:$AF$57"</definedName>
    <definedName name="_3Excel_BuiltIn_Print_Area_4_1_1_1_1_1">"$#REF!.$A$1:$AF$58"</definedName>
    <definedName name="_4Excel_BuiltIn_Print_Area_5_1_1">#REF!</definedName>
    <definedName name="_5Excel_BuiltIn_Print_Area_5_1_1_1_1">"$#REF!.$A$1:$AF$58"</definedName>
    <definedName name="_6Excel_BuiltIn_Print_Area_6_1">#REF!</definedName>
    <definedName name="_7Excel_BuiltIn_Print_Area_7_1_1_1_1_1_1_1_1_1_1_1">"$#REF!.$A$1:$AF$57"</definedName>
    <definedName name="_APR08">[2]VOLUME!$C$9:$AA$9</definedName>
    <definedName name="_APR09">[2]VOLUME!#REF!</definedName>
    <definedName name="_APR10">[2]VOLUME!#REF!</definedName>
    <definedName name="_AUG08">[2]VOLUME!$C$13:$AA$13</definedName>
    <definedName name="_AUG09">[2]VOLUME!#REF!</definedName>
    <definedName name="_AUG10">[2]VOLUME!#REF!</definedName>
    <definedName name="_DEC08">[2]VOLUME!$C$17:$AA$17</definedName>
    <definedName name="_DEC09">[2]VOLUME!#REF!</definedName>
    <definedName name="_DEC10">[2]VOLUME!#REF!</definedName>
    <definedName name="_FEB08">[2]VOLUME!$C$7:$AA$7</definedName>
    <definedName name="_FEB09">[2]VOLUME!#REF!</definedName>
    <definedName name="_FEB10">[2]VOLUME!#REF!</definedName>
    <definedName name="_FEB11">[2]VOLUME!#REF!</definedName>
    <definedName name="_xlnm._FilterDatabase" localSheetId="0" hidden="1">Sheet!$B$6:$AJ$67</definedName>
    <definedName name="_JAN08">[2]VOLUME!$C$6:$AA$6</definedName>
    <definedName name="_JAN09">[2]VOLUME!#REF!</definedName>
    <definedName name="_JAN10">[2]VOLUME!#REF!</definedName>
    <definedName name="_JAN11">[2]VOLUME!#REF!</definedName>
    <definedName name="_JUL08">[2]VOLUME!$C$12:$AA$12</definedName>
    <definedName name="_JUL09">[2]VOLUME!#REF!</definedName>
    <definedName name="_JUL10">[2]VOLUME!#REF!</definedName>
    <definedName name="_JUN08">[2]VOLUME!$C$11:$AA$11</definedName>
    <definedName name="_JUN09">[2]VOLUME!#REF!</definedName>
    <definedName name="_JUN10">[2]VOLUME!#REF!</definedName>
    <definedName name="_Key1" hidden="1">#REF!</definedName>
    <definedName name="_MAR08">[2]VOLUME!$C$8:$AA$8</definedName>
    <definedName name="_MAR09">[2]VOLUME!#REF!</definedName>
    <definedName name="_MAR10">[2]VOLUME!#REF!</definedName>
    <definedName name="_MAR11">[2]VOLUME!#REF!</definedName>
    <definedName name="_MAY08">[2]VOLUME!$C$10:$AA$10</definedName>
    <definedName name="_MAY09">[2]VOLUME!#REF!</definedName>
    <definedName name="_MAY10">[2]VOLUME!#REF!</definedName>
    <definedName name="_MR143">[3]OD!$J$84</definedName>
    <definedName name="_MR163">[3]OD!$J$83</definedName>
    <definedName name="_MR438">[3]OD!$J$85</definedName>
    <definedName name="_NOV08">[2]VOLUME!$C$16:$AA$16</definedName>
    <definedName name="_NOV09">[2]VOLUME!#REF!</definedName>
    <definedName name="_NOV10">[2]VOLUME!#REF!</definedName>
    <definedName name="_OCT08">[2]VOLUME!$C$15:$AA$15</definedName>
    <definedName name="_OCT09">[2]VOLUME!#REF!</definedName>
    <definedName name="_OCT10">[2]VOLUME!#REF!</definedName>
    <definedName name="_Order1" hidden="1">255</definedName>
    <definedName name="_p">"$#REF!.$AE$39:$AK$46"</definedName>
    <definedName name="_SEP08">[2]VOLUME!$C$14:$AA$14</definedName>
    <definedName name="_SEP09">[2]VOLUME!#REF!</definedName>
    <definedName name="_SEP10">[2]VOLUME!#REF!</definedName>
    <definedName name="_Sort" hidden="1">#REF!</definedName>
    <definedName name="a">"$#REF!.$B$9:$AT$1119"</definedName>
    <definedName name="a_1">"$#REF!.$B$12:$AO$624"</definedName>
    <definedName name="a_1_1">"$#REF!.$B$12:$AO$624"</definedName>
    <definedName name="a_1_1_1" localSheetId="0">#REF!</definedName>
    <definedName name="a_1_1_1">#REF!</definedName>
    <definedName name="a_1_2" localSheetId="0">#REF!</definedName>
    <definedName name="a_1_2">#REF!</definedName>
    <definedName name="a_1_3" localSheetId="0">#REF!</definedName>
    <definedName name="a_1_3">#REF!</definedName>
    <definedName name="a_1_4">"$#REF!.$B$12:$AO$624"</definedName>
    <definedName name="a_1_5">"$#REF!.$B$12:$AO$627"</definedName>
    <definedName name="a_1_6">"$#REF!.$B$12:$AO$627"</definedName>
    <definedName name="a_12">#REF!</definedName>
    <definedName name="a_2" localSheetId="0">#REF!</definedName>
    <definedName name="a_2">#REF!</definedName>
    <definedName name="a_3" localSheetId="0">#REF!</definedName>
    <definedName name="a_3">#REF!</definedName>
    <definedName name="a_4">"$#REF!.$B$14:$AT$1131"</definedName>
    <definedName name="a_5">"$#REF!.$B$14:$AT$1131"</definedName>
    <definedName name="a_6">"$#REF!.$B$14:$AT$1131"</definedName>
    <definedName name="AA">"$#REF!.$B$9:$K$1141"</definedName>
    <definedName name="AA_1">"$#REF!.$B$12:$AO$636"</definedName>
    <definedName name="AA_1_1">"$#REF!.$B$12:$AO$636"</definedName>
    <definedName name="AA_1_1_1" localSheetId="0">#REF!</definedName>
    <definedName name="AA_1_1_1">#REF!</definedName>
    <definedName name="AA_1_2" localSheetId="0">#REF!</definedName>
    <definedName name="AA_1_2">#REF!</definedName>
    <definedName name="AA_1_3" localSheetId="0">#REF!</definedName>
    <definedName name="AA_1_3">#REF!</definedName>
    <definedName name="AA_1_4">"$#REF!.$B$12:$AO$636"</definedName>
    <definedName name="AA_1_5">"$#REF!.$B$12:$AO$639"</definedName>
    <definedName name="AA_1_6">"$#REF!.$B$12:$AO$639"</definedName>
    <definedName name="AA_2" localSheetId="0">#REF!</definedName>
    <definedName name="AA_2">#REF!</definedName>
    <definedName name="AA_3" localSheetId="0">#REF!</definedName>
    <definedName name="AA_3">#REF!</definedName>
    <definedName name="AA_4">"$#REF!.$B$13:$K$1153"</definedName>
    <definedName name="AA_5">"$#REF!.$B$13:$K$1153"</definedName>
    <definedName name="AA_6">"$#REF!.$B$13:$K$1153"</definedName>
    <definedName name="aaa">"$#REF!.$B$9:$AT$1111"</definedName>
    <definedName name="aaa_1">"$#REF!.$B$12:$AO$621"</definedName>
    <definedName name="aaa_1_1">"$#REF!.$B$12:$AO$621"</definedName>
    <definedName name="aaa_1_1_1" localSheetId="0">#REF!</definedName>
    <definedName name="aaa_1_1_1">#REF!</definedName>
    <definedName name="aaa_1_2" localSheetId="0">#REF!</definedName>
    <definedName name="aaa_1_2">#REF!</definedName>
    <definedName name="aaa_1_3" localSheetId="0">#REF!</definedName>
    <definedName name="aaa_1_3">#REF!</definedName>
    <definedName name="aaa_1_4">"$#REF!.$B$12:$AO$621"</definedName>
    <definedName name="aaa_1_5">"$#REF!.$B$12:$AO$623"</definedName>
    <definedName name="aaa_1_6">"$#REF!.$B$12:$AO$623"</definedName>
    <definedName name="aaa_2" localSheetId="0">#REF!</definedName>
    <definedName name="aaa_2">#REF!</definedName>
    <definedName name="aaa_3" localSheetId="0">#REF!</definedName>
    <definedName name="aaa_3">#REF!</definedName>
    <definedName name="aaa_4">"$#REF!.$B$14:$AT$1123"</definedName>
    <definedName name="aaa_5">"$#REF!.$B$14:$AT$1123"</definedName>
    <definedName name="aaa_6">"$#REF!.$B$14:$AT$1123"</definedName>
    <definedName name="aaaa" localSheetId="0">#REF!</definedName>
    <definedName name="aaaa">#REF!</definedName>
    <definedName name="Actual" localSheetId="0">(Sheet!PeriodInActual*(#REF!&gt;0))*Sheet!PeriodInPlan</definedName>
    <definedName name="Actual">(PeriodInActual*(#REF!&gt;0))*PeriodInPlan</definedName>
    <definedName name="ActualBeyond" localSheetId="0">Sheet!PeriodInActual*(#REF!&gt;0)</definedName>
    <definedName name="ActualBeyond">PeriodInActual*(#REF!&gt;0)</definedName>
    <definedName name="addr">"$#REF!.$C$51:$S$61"</definedName>
    <definedName name="address">"$#REF!.$B$1:$H$81"</definedName>
    <definedName name="ade">"$#REF!.$A$3:$C$115"</definedName>
    <definedName name="alam">"$#REF!.$C$1:$H$81"</definedName>
    <definedName name="APA">(#REF!,#REF!,#REF!,#REF!,#REF!,#REF!,#REF!,#REF!,#REF!)</definedName>
    <definedName name="APA_17">(#REF!,#REF!,#REF!,#REF!,#REF!,#REF!,#REF!,#REF!,#REF!)</definedName>
    <definedName name="asalta166">"$#REF!.$A$1"</definedName>
    <definedName name="asd">"$#REF!.$A$14:$BW$443"</definedName>
    <definedName name="asdasda">"$#REF!.$B$13:$L$571"</definedName>
    <definedName name="asdasdasd">"$#REF!.$A$10:$R$356"</definedName>
    <definedName name="asdasdasdas">"$#REF!.$A$10:$Y$72"</definedName>
    <definedName name="asdasdasdasd">"$#REF!.$A$6:$BE$33"</definedName>
    <definedName name="b">"$#REF!.$B$9:$AT$1114"</definedName>
    <definedName name="b_1">"$#REF!.$B$12:$AO$621"</definedName>
    <definedName name="b_1_1">"$#REF!.$B$12:$AO$621"</definedName>
    <definedName name="b_1_1_1" localSheetId="0">#REF!</definedName>
    <definedName name="b_1_1_1">#REF!</definedName>
    <definedName name="b_1_2" localSheetId="0">#REF!</definedName>
    <definedName name="b_1_2">#REF!</definedName>
    <definedName name="b_1_3" localSheetId="0">#REF!</definedName>
    <definedName name="b_1_3">#REF!</definedName>
    <definedName name="b_1_4">"$#REF!.$B$12:$AO$621"</definedName>
    <definedName name="b_1_5">"$#REF!.$B$12:$AO$623"</definedName>
    <definedName name="b_1_6">"$#REF!.$B$12:$AO$623"</definedName>
    <definedName name="b_2" localSheetId="0">#REF!</definedName>
    <definedName name="b_2">#REF!</definedName>
    <definedName name="b_3" localSheetId="0">#REF!</definedName>
    <definedName name="b_3">#REF!</definedName>
    <definedName name="b_4">"$#REF!.$B$14:$AT$1126"</definedName>
    <definedName name="b_5">"$#REF!.$B$14:$AT$1126"</definedName>
    <definedName name="b_6">"$#REF!.$B$14:$AT$1126"</definedName>
    <definedName name="BB">"$#REF!.$B$9:$AT$1147"</definedName>
    <definedName name="BB_1">"$#REF!.$B$12:$AO$631"</definedName>
    <definedName name="BB_1_1">"$#REF!.$B$12:$AO$631"</definedName>
    <definedName name="BB_1_1_1" localSheetId="0">#REF!</definedName>
    <definedName name="BB_1_1_1">#REF!</definedName>
    <definedName name="BB_1_2" localSheetId="0">#REF!</definedName>
    <definedName name="BB_1_2">#REF!</definedName>
    <definedName name="BB_1_3" localSheetId="0">#REF!</definedName>
    <definedName name="BB_1_3">#REF!</definedName>
    <definedName name="BB_1_4">"$#REF!.$B$12:$AO$631"</definedName>
    <definedName name="BB_1_5">"$#REF!.$B$12:$AO$634"</definedName>
    <definedName name="BB_1_6">"$#REF!.$B$12:$AO$634"</definedName>
    <definedName name="BB_2" localSheetId="0">#REF!</definedName>
    <definedName name="BB_2">#REF!</definedName>
    <definedName name="BB_3" localSheetId="0">#REF!</definedName>
    <definedName name="BB_3">#REF!</definedName>
    <definedName name="BB_4">"$#REF!.$B$13:$AT$1159"</definedName>
    <definedName name="BB_5">"$#REF!.$B$13:$AT$1159"</definedName>
    <definedName name="BB_6">"$#REF!.$B$13:$AT$1159"</definedName>
    <definedName name="book3">[4]VOLUME!#REF!</definedName>
    <definedName name="cc">"$#REF!.$B$9:$AU$1148"</definedName>
    <definedName name="cc_1" localSheetId="0">#REF!</definedName>
    <definedName name="cc_1">#REF!</definedName>
    <definedName name="cc_2" localSheetId="0">#REF!</definedName>
    <definedName name="cc_2">#REF!</definedName>
    <definedName name="cc_3" localSheetId="0">#REF!</definedName>
    <definedName name="cc_3">#REF!</definedName>
    <definedName name="cc_4">"$#REF!.$B$14:$AU$1160"</definedName>
    <definedName name="cc_5">"$#REF!.$B$14:$AU$1160"</definedName>
    <definedName name="cc_6">"$#REF!.$B$14:$AU$1160"</definedName>
    <definedName name="CCALL">[3]OD!$J$52</definedName>
    <definedName name="ccc">"$#REF!.$B$13:$AU$579"</definedName>
    <definedName name="CITY">[5]OD!$J$22</definedName>
    <definedName name="CITYIZ">[5]OD!$J$24</definedName>
    <definedName name="CIVIC">[5]OD!$J$25</definedName>
    <definedName name="CIVICF">[5]OD!$J$26</definedName>
    <definedName name="clip" hidden="1">#REF!</definedName>
    <definedName name="COROLLA">[5]OD!$J$14</definedName>
    <definedName name="CORONA">[5]OD!$J$13</definedName>
    <definedName name="cov">"$#REF!.$C$2:$S$46"</definedName>
    <definedName name="CRK">[6]OD!$I$46</definedName>
    <definedName name="DAT">"$#REF!.$C$2:$S$46"</definedName>
    <definedName name="DATA1">[7]QtyOrder!#REF!</definedName>
    <definedName name="DATA2">[7]QtyOrder!#REF!</definedName>
    <definedName name="_xlnm.Database">#REF!</definedName>
    <definedName name="DCALL">[3]OD!$J$55</definedName>
    <definedName name="DD">"$#REF!.$B$9:$L$1140"</definedName>
    <definedName name="DD_1" localSheetId="0">#REF!</definedName>
    <definedName name="DD_1">#REF!</definedName>
    <definedName name="DD_2" localSheetId="0">#REF!</definedName>
    <definedName name="DD_2">#REF!</definedName>
    <definedName name="DD_3" localSheetId="0">#REF!</definedName>
    <definedName name="DD_3">#REF!</definedName>
    <definedName name="DD_4">"$#REF!.$B$14:$L$1152"</definedName>
    <definedName name="DD_5">"$#REF!.$B$14:$L$1152"</definedName>
    <definedName name="DD_6">"$#REF!.$B$14:$L$1152"</definedName>
    <definedName name="dddd">"$#REF!.$A$33:$R$62"</definedName>
    <definedName name="ddddd">"$#REF!.$A$1:$AR$67"</definedName>
    <definedName name="ddee">"$#REF!.$A$1:$DL$438"</definedName>
    <definedName name="dewi">(#REF!,#REF!,#REF!,#REF!,#REF!,#REF!,#REF!,#REF!,#REF!)</definedName>
    <definedName name="dirga_a">#REF!</definedName>
    <definedName name="DUA">"$#REF!.$A$3:$B$3"</definedName>
    <definedName name="eee">#REF!</definedName>
    <definedName name="Excel_BuiltIn__FilterDatabase_1">"$#REF!.$A$7:$AP$622"</definedName>
    <definedName name="Excel_BuiltIn__FilterDatabase_1_1">"$#REF!.$A$7:$AP$622"</definedName>
    <definedName name="Excel_BuiltIn__FilterDatabase_1_1_1" localSheetId="0">#REF!</definedName>
    <definedName name="Excel_BuiltIn__FilterDatabase_1_1_1">#REF!</definedName>
    <definedName name="Excel_BuiltIn__FilterDatabase_1_2" localSheetId="0">#REF!</definedName>
    <definedName name="Excel_BuiltIn__FilterDatabase_1_2">#REF!</definedName>
    <definedName name="Excel_BuiltIn__FilterDatabase_1_3" localSheetId="0">#REF!</definedName>
    <definedName name="Excel_BuiltIn__FilterDatabase_1_3">#REF!</definedName>
    <definedName name="Excel_BuiltIn__FilterDatabase_1_4">"$#REF!.$A$7:$AP$622"</definedName>
    <definedName name="Excel_BuiltIn__FilterDatabase_1_5">"$#REF!.$A$7:$AP$624"</definedName>
    <definedName name="Excel_BuiltIn__FilterDatabase_1_6">"$#REF!.$A$7:$AP$624"</definedName>
    <definedName name="Excel_BuiltIn__FilterDatabase_2" localSheetId="0">#REF!</definedName>
    <definedName name="Excel_BuiltIn__FilterDatabase_2">#REF!</definedName>
    <definedName name="Excel_BuiltIn__FilterDatabase_2_1">"$#REF!.$A$4:$P$2577"</definedName>
    <definedName name="Excel_BuiltIn__FilterDatabase_2_1_1">"$#REF!.$A$4:$P$2577"</definedName>
    <definedName name="Excel_BuiltIn__FilterDatabase_2_1_2">"$#REF!.$A$4:$P$2686"</definedName>
    <definedName name="Excel_BuiltIn__FilterDatabase_2_1_3">NA()</definedName>
    <definedName name="Excel_BuiltIn__FilterDatabase_2_1_4">"$#REF!.$A$4:$P$2577"</definedName>
    <definedName name="Excel_BuiltIn__FilterDatabase_3">"$#REF!.$A$17:$M$128"</definedName>
    <definedName name="Excel_BuiltIn__FilterDatabase_4" localSheetId="0">#REF!</definedName>
    <definedName name="Excel_BuiltIn__FilterDatabase_4">#REF!</definedName>
    <definedName name="Excel_BuiltIn__FilterDatabase_4_1">"$#REF!.$A$10:$R$356"</definedName>
    <definedName name="Excel_BuiltIn__FilterDatabase_5_1">"$#REF!.$A$6:$BE$33"</definedName>
    <definedName name="Excel_BuiltIn__FilterDatabase_6" localSheetId="0">#REF!</definedName>
    <definedName name="Excel_BuiltIn__FilterDatabase_6">#REF!</definedName>
    <definedName name="Excel_BuiltIn__FilterDatabase_7_1">"$#REF!.$A$14:$BW$443"</definedName>
    <definedName name="Excel_BuiltIn_Print_5_1_1_1_1_1">"$#REF!.$A$9:$HQ$12"</definedName>
    <definedName name="Excel_BuiltIn_Print_Area">#REF!</definedName>
    <definedName name="Excel_BuiltIn_Print_Area_1">"$#REF!.$#REF!$#REF!:$#REF!$#REF!"</definedName>
    <definedName name="Excel_BuiltIn_Print_Area_1_1" localSheetId="0">'[8]aida 80 p2 REV'!#REF!</definedName>
    <definedName name="Excel_BuiltIn_Print_Area_1_1">'[8]aida 80 p2 REV'!#REF!</definedName>
    <definedName name="Excel_BuiltIn_Print_Area_1_1_1">"$#REF!.$#REF!$#REF!:$#REF!$#REF!"</definedName>
    <definedName name="Excel_BuiltIn_Print_Area_1_1_1_1">"$#REF!.$#REF!$#REF!:$#REF!$#REF!"</definedName>
    <definedName name="Excel_BuiltIn_Print_Area_1_1_1_1_1">"$#REF!.$#REF!$#REF!:$#REF!$#REF!"</definedName>
    <definedName name="Excel_BuiltIn_Print_Area_1_1_1_1_1_1">"$#REF!.$B$1:$Z$30"</definedName>
    <definedName name="Excel_BuiltIn_Print_Area_1_2">NA()</definedName>
    <definedName name="Excel_BuiltIn_Print_Area_1_3" localSheetId="0">#REF!</definedName>
    <definedName name="Excel_BuiltIn_Print_Area_1_3">#REF!</definedName>
    <definedName name="Excel_BuiltIn_Print_Area_1_4">"$#REF!.$#REF!$#REF!:$#REF!$#REF!"</definedName>
    <definedName name="Excel_BuiltIn_Print_Area_1_5">"$#REF!.$#REF!$#REF!:$#REF!$#REF!"</definedName>
    <definedName name="Excel_BuiltIn_Print_Area_1_6">"$#REF!.$#REF!$#REF!:$#REF!$#REF!"</definedName>
    <definedName name="Excel_BuiltIn_Print_Area_10">"$#REF!.$#REF!$#REF!:$#REF!$#REF!"</definedName>
    <definedName name="Excel_BuiltIn_Print_Area_10_1">#REF!</definedName>
    <definedName name="Excel_BuiltIn_Print_Area_10_1_1">#REF!</definedName>
    <definedName name="Excel_BuiltIn_Print_Area_10_1_1_1">"$#REF!.$A$1:$AF$58"</definedName>
    <definedName name="Excel_BuiltIn_Print_Area_10_1_1_1_1">"$#REF!.$A$120:$AF$177"</definedName>
    <definedName name="Excel_BuiltIn_Print_Area_10_1_1_1_1_1">"$#REF!.$A$1:$AF$57"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">"$#REF!.$A$1:$AF$58"</definedName>
    <definedName name="Excel_BuiltIn_Print_Area_11_1_1_1_1">"$#REF!.$#REF!$#REF!:$#REF!$#REF!"</definedName>
    <definedName name="Excel_BuiltIn_Print_Area_11_1_1_1_1_1">"$#REF!.$#REF!$#REF!:$#REF!$#REF!"</definedName>
    <definedName name="Excel_BuiltIn_Print_Area_11_1_1_1_1_1_1">"$#REF!.$A$60:$AF$116"</definedName>
    <definedName name="Excel_BuiltIn_Print_Area_12" localSheetId="0">#REF!</definedName>
    <definedName name="Excel_BuiltIn_Print_Area_12">#REF!</definedName>
    <definedName name="Excel_BuiltIn_Print_Area_12_1">#REF!</definedName>
    <definedName name="Excel_BuiltIn_Print_Area_12_1_1">"$#REF!.$A$1:$AF$58"</definedName>
    <definedName name="Excel_BuiltIn_Print_Area_12_1_1_1">"$#REF!.$#REF!$#REF!:$#REF!$#REF!"</definedName>
    <definedName name="Excel_BuiltIn_Print_Area_12_1_1_1_1">"$#REF!.$A$1:$AF$57"</definedName>
    <definedName name="Excel_BuiltIn_Print_Area_12_1_1_1_1_1">"$#REF!.$#REF!$#REF!:$#REF!$#REF!"</definedName>
    <definedName name="Excel_BuiltIn_Print_Area_13">"$#REF!.$A$1:$Z$35"</definedName>
    <definedName name="Excel_BuiltIn_Print_Area_13_1">#REF!</definedName>
    <definedName name="Excel_BuiltIn_Print_Area_13_1_1_1">#REF!</definedName>
    <definedName name="Excel_BuiltIn_Print_Area_13_1_1_1_1">"$#REF!.$A$1:$AF$58"</definedName>
    <definedName name="Excel_BuiltIn_Print_Area_13_1_1_1_1_1">"$#REF!.$A$120:$AF$177"</definedName>
    <definedName name="Excel_BuiltIn_Print_Area_13_1_1_1_1_1_1">"$#REF!.$A$1:$AF$57"</definedName>
    <definedName name="Excel_BuiltIn_Print_Area_13_1_1_1_1_1_1_1">"$#REF!.$A$120:$AF$176"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">"$#REF!.$A$1:$AF$58"</definedName>
    <definedName name="Excel_BuiltIn_Print_Area_14_1_1_1_1">"$#REF!.$A$120:$AF$177"</definedName>
    <definedName name="Excel_BuiltIn_Print_Area_14_1_1_1_1_1">"$#REF!.$A$120:$AF$176"</definedName>
    <definedName name="Excel_BuiltIn_Print_Area_14_1_1_1_1_1_1">"$#REF!.$A$1:$AF$57"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"$#REF!.$#REF!$#REF!:$#REF!$#REF!"</definedName>
    <definedName name="Excel_BuiltIn_Print_Area_15_1_1_1_1">"$#REF!.$A$1:$AF$57"</definedName>
    <definedName name="Excel_BuiltIn_Print_Area_15_1_1_1_1_1">"$#REF!.$A$179:$AF$235"</definedName>
    <definedName name="Excel_BuiltIn_Print_Area_16_1">#REF!</definedName>
    <definedName name="Excel_BuiltIn_Print_Area_16_1_1">"$#REF!.$A$1:$AF$58"</definedName>
    <definedName name="Excel_BuiltIn_Print_Area_16_1_1_1">"$#REF!.$A$1:$AF$58"</definedName>
    <definedName name="Excel_BuiltIn_Print_Area_16_1_1_1_1">"$#REF!.$A$1:$AF$57"</definedName>
    <definedName name="Excel_BuiltIn_Print_Area_16_1_1_1_1_1">"$#REF!.$A$120:$AF$176"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"$#REF!.$A$1:$AF$57"</definedName>
    <definedName name="Excel_BuiltIn_Print_Area_18_1">#REF!</definedName>
    <definedName name="Excel_BuiltIn_Print_Area_18_1_1">"$#REF!.$A$1:$AF$57"</definedName>
    <definedName name="Excel_BuiltIn_Print_Area_19_1">#REF!</definedName>
    <definedName name="Excel_BuiltIn_Print_Area_19_1_1_1">"$#REF!.$A$1:$AF$57"</definedName>
    <definedName name="Excel_BuiltIn_Print_Area_2">"$#REF!.$A$1:$O$58"</definedName>
    <definedName name="Excel_BuiltIn_Print_Area_2_1" localSheetId="0">#REF!</definedName>
    <definedName name="Excel_BuiltIn_Print_Area_2_1">#REF!</definedName>
    <definedName name="Excel_BuiltIn_Print_Area_2_1_1">"$#REF!.$A$1:$L$668"</definedName>
    <definedName name="Excel_BuiltIn_Print_Area_2_1_1_1">"$#REF!.$A$1:$L$214"</definedName>
    <definedName name="Excel_BuiltIn_Print_Area_2_1_1_1_1">"$#REF!.$A$1:$H$196"</definedName>
    <definedName name="Excel_BuiltIn_Print_Area_2_1_1_1_1_1">"$#REF!.$A$1:$AF$57"</definedName>
    <definedName name="Excel_BuiltIn_Print_Area_2_1_1_1_1_1_1">"$#REF!.$A$60:$AF$116"</definedName>
    <definedName name="Excel_BuiltIn_Print_Area_2_1_1_1_1_1_1_1">"$'59234 67L00'.$#REF!$#REF!:$#REF!$#REF!"</definedName>
    <definedName name="Excel_BuiltIn_Print_Area_2_2" localSheetId="0">#REF!</definedName>
    <definedName name="Excel_BuiltIn_Print_Area_2_2">#REF!</definedName>
    <definedName name="Excel_BuiltIn_Print_Area_2_3" localSheetId="0">#REF!</definedName>
    <definedName name="Excel_BuiltIn_Print_Area_2_3">#REF!</definedName>
    <definedName name="Excel_BuiltIn_Print_Area_2_4">"$#REF!.$A$1:$O$60"</definedName>
    <definedName name="Excel_BuiltIn_Print_Area_2_5">"$#REF!.$A$1:$O$60"</definedName>
    <definedName name="Excel_BuiltIn_Print_Area_2_6">"$#REF!.$A$1:$O$60"</definedName>
    <definedName name="Excel_BuiltIn_Print_Area_20_1">#REF!</definedName>
    <definedName name="Excel_BuiltIn_Print_Area_21">#REF!</definedName>
    <definedName name="Excel_BuiltIn_Print_Area_21_1">#REF!</definedName>
    <definedName name="Excel_BuiltIn_Print_Area_21_1_1">#REF!</definedName>
    <definedName name="Excel_BuiltIn_Print_Area_21_1_1_1_1">#REF!</definedName>
    <definedName name="Excel_BuiltIn_Print_Area_22_1">#REF!</definedName>
    <definedName name="Excel_BuiltIn_Print_Area_23_1">#REF!</definedName>
    <definedName name="Excel_BuiltIn_Print_Area_24_1">#REF!</definedName>
    <definedName name="Excel_BuiltIn_Print_Area_25_1">#REF!</definedName>
    <definedName name="Excel_BuiltIn_Print_Area_26_1">#REF!</definedName>
    <definedName name="Excel_BuiltIn_Print_Area_28">#REF!</definedName>
    <definedName name="Excel_BuiltIn_Print_Area_29">#REF!</definedName>
    <definedName name="Excel_BuiltIn_Print_Area_3">"$#REF!.$A$2:$I$1141"</definedName>
    <definedName name="Excel_BuiltIn_Print_Area_3_1">"$#REF!.$A$2:$I$1141"</definedName>
    <definedName name="Excel_BuiltIn_Print_Area_3_1_1">"$#REF!.$A$1:$BA$181"</definedName>
    <definedName name="Excel_BuiltIn_Print_Area_3_1_1_1">#REF!</definedName>
    <definedName name="Excel_BuiltIn_Print_Area_3_1_1_1_1">"$#REF!.$A$1:$AF$58"</definedName>
    <definedName name="Excel_BuiltIn_Print_Area_3_1_1_1_1_1">"$#REF!.$#REF!$#REF!:$#REF!$#REF!"</definedName>
    <definedName name="Excel_BuiltIn_Print_Area_3_1_1_1_1_1_1">"$#REF!.$A$1:$AF$57"</definedName>
    <definedName name="Excel_BuiltIn_Print_Area_3_1_1_1_1_1_1_1">"$#REF!.$A$120:$AF$176"</definedName>
    <definedName name="Excel_BuiltIn_Print_Area_3_1_1_1_1_1_1_1_1">"$#REF!.$A$1:$AG$176"</definedName>
    <definedName name="Excel_BuiltIn_Print_Area_3_1_1_1_1_1_1_1_1_1">"$#REF!.$A$60:$AF$116"</definedName>
    <definedName name="Excel_BuiltIn_Print_Area_3_1_1_1_1_1_1_1_1_1_1">"$#REF!.$A$1:$AG$46"</definedName>
    <definedName name="Excel_BuiltIn_Print_Area_3_2">"$#REF!.$A$2:$I$1250"</definedName>
    <definedName name="Excel_BuiltIn_Print_Area_3_3">NA()</definedName>
    <definedName name="Excel_BuiltIn_Print_Area_3_4">"$#REF!.$A$2:$I$1141"</definedName>
    <definedName name="Excel_BuiltIn_Print_Area_4">"$#REF!.$A$2:$I$1141"</definedName>
    <definedName name="Excel_BuiltIn_Print_Area_4_1">"$#REF!.$A$2:$I$1141"</definedName>
    <definedName name="Excel_BuiltIn_Print_Area_4_1_1">"$#REF!.$A$1:$BU$44"</definedName>
    <definedName name="Excel_BuiltIn_Print_Area_4_1_1_1">"$#REF!.$A$1:$BU$47"</definedName>
    <definedName name="Excel_BuiltIn_Print_Area_4_1_1_1_1">"$#REF!.$A$1:$BU$46"</definedName>
    <definedName name="Excel_BuiltIn_Print_Area_4_1_1_1_1_1">"$#REF!.$A$120:$AF$177"</definedName>
    <definedName name="Excel_BuiltIn_Print_Area_4_1_1_1_1_1_1">"$#REF!.$A$120:$AF$176"</definedName>
    <definedName name="Excel_BuiltIn_Print_Area_4_1_1_1_1_1_1_1">"$#REF!.$A$1:$AF$57"</definedName>
    <definedName name="Excel_BuiltIn_Print_Area_4_1_1_1_1_1_1_1_1">"$#REF!.$#REF!$#REF!:$#REF!$#REF!"</definedName>
    <definedName name="Excel_BuiltIn_Print_Area_4_1_1_1_1_1_1_1_1_1">"$#REF!.$A$1:$AF$57"</definedName>
    <definedName name="Excel_BuiltIn_Print_Area_4_1_1_1_1_1_1_1_1_1_1">"$#REF!.$A$60:$AF$116"</definedName>
    <definedName name="Excel_BuiltIn_Print_Area_4_1_1_1_1_1_1_1_1_1_1_1">"$#REF!.$A$179:$AF$235"</definedName>
    <definedName name="Excel_BuiltIn_Print_Area_4_1_1_1_1_1_1_1_1_1_1_1_1">"$#REF!.$A$1:$AF$45"</definedName>
    <definedName name="Excel_BuiltIn_Print_Area_4_2">"$#REF!.$A$2:$I$1250"</definedName>
    <definedName name="Excel_BuiltIn_Print_Area_4_3">NA()</definedName>
    <definedName name="Excel_BuiltIn_Print_Area_4_4">"$#REF!.$A$2:$I$1141"</definedName>
    <definedName name="Excel_BuiltIn_Print_Area_5" localSheetId="0">#REF!</definedName>
    <definedName name="Excel_BuiltIn_Print_Area_5">#REF!</definedName>
    <definedName name="Excel_BuiltIn_Print_Area_5_1" localSheetId="0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"$#REF!.$#REF!$#REF!:$#REF!$#REF!"</definedName>
    <definedName name="Excel_BuiltIn_Print_Area_5_1_1_1_1_1">"$#REF!.$#REF!$#REF!:$#REF!$#REF!"</definedName>
    <definedName name="Excel_BuiltIn_Print_Area_5_1_1_1_1_1_1">"$#REF!.$A$1:$AF$57"</definedName>
    <definedName name="Excel_BuiltIn_Print_Area_5_1_1_1_1_1_1_1">"$#REF!.$A$1:$AF$57"</definedName>
    <definedName name="Excel_BuiltIn_Print_Area_5_1_1_1_1_1_1_1_1">"$#REF!.$A$179:$AF$235"</definedName>
    <definedName name="Excel_BuiltIn_Print_Area_5_1_1_1_1_1_1_1_1_1">"$#REF!.$A$1:$AG$46"</definedName>
    <definedName name="Excel_BuiltIn_Print_Area_6" localSheetId="0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">"$#REF!.$A$1:$AF$58"</definedName>
    <definedName name="Excel_BuiltIn_Print_Area_6_1_1_1_1_1">"$#REF!.$A$1:$AF$57"</definedName>
    <definedName name="Excel_BuiltIn_Print_Area_6_1_1_1_1_1_1">"$#REF!.$A$1:$AF$57"</definedName>
    <definedName name="Excel_BuiltIn_Print_Area_6_1_1_1_1_1_1_1">"$#REF!.$A$120:$AF$176"</definedName>
    <definedName name="Excel_BuiltIn_Print_Area_7">"$#REF!.$B$1:$Y$30"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_1">"$#REF!.$A$1:$AF$58"</definedName>
    <definedName name="Excel_BuiltIn_Print_Area_7_1_1_1_1_1_1_1">"$#REF!.$#REF!$#REF!:$#REF!$#REF!"</definedName>
    <definedName name="Excel_BuiltIn_Print_Area_7_1_1_1_1_1_1_1_1">"$#REF!.$A$1:$AF$57"</definedName>
    <definedName name="Excel_BuiltIn_Print_Area_7_1_1_1_1_1_1_1_1_1">"$#REF!.$A$120:$AF$176"</definedName>
    <definedName name="Excel_BuiltIn_Print_Area_7_1_1_1_1_1_1_1_1_1_1">"$#REF!.$C$12:$D$12"</definedName>
    <definedName name="Excel_BuiltIn_Print_Area_7_1_1_1_1_1_1_1_1_1_1_1">"$#REF!.$A$120:$AF$176"</definedName>
    <definedName name="Excel_BuiltIn_Print_Area_8">#REF!</definedName>
    <definedName name="Excel_BuiltIn_Print_Area_8_1">#REF!</definedName>
    <definedName name="Excel_BuiltIn_Print_Area_8_1_1">"$#REF!.$A$1:$AF$58"</definedName>
    <definedName name="Excel_BuiltIn_Print_Area_8_1_1_1">"$#REF!.$A$179:$AF$236"</definedName>
    <definedName name="Excel_BuiltIn_Print_Area_8_1_1_1_1">"$#REF!.$A$1:$AF$57"</definedName>
    <definedName name="Excel_BuiltIn_Print_Area_8_1_1_1_1_1">"$#REF!.$A$120:$AF$176"</definedName>
    <definedName name="Excel_BuiltIn_Print_Area_8_1_1_1_1_1_1">"$#REF!.$A$60:$AF$116"</definedName>
    <definedName name="Excel_BuiltIn_Print_Area_9">"$#REF!.$#REF!$#REF!:$#REF!$#REF!"</definedName>
    <definedName name="Excel_BuiltIn_Print_Area_9_1">#REF!</definedName>
    <definedName name="Excel_BuiltIn_Print_Area_9_1_1">#REF!</definedName>
    <definedName name="Excel_BuiltIn_Print_Area_9_1_1_1">"$#REF!.$A$1:$AF$58"</definedName>
    <definedName name="Excel_BuiltIn_Print_Area_9_1_1_1_1">"$#REF!.$A$120:$AF$177"</definedName>
    <definedName name="Excel_BuiltIn_Print_Area_9_1_1_1_1_1">"$#REF!.$A$1:$AF$57"</definedName>
    <definedName name="Excel_BuiltIn_Print_Titles_1">"$#REF!.$A$7:$IT$8"</definedName>
    <definedName name="Excel_BuiltIn_Print_Titles_1_1">"$#REF!.$A$1:$IT$7"</definedName>
    <definedName name="Excel_BuiltIn_Print_Titles_1_1_1">"$#REF!.$A$1:$IT$7"</definedName>
    <definedName name="Excel_BuiltIn_Print_Titles_1_1_1_1">"$#REF!.$A$1:$IT$7"</definedName>
    <definedName name="Excel_BuiltIn_Print_Titles_1_1_1_1_1">"$#REF!.$A$1:$IT$7"</definedName>
    <definedName name="Excel_BuiltIn_Print_Titles_1_1_2" localSheetId="0">#REF!</definedName>
    <definedName name="Excel_BuiltIn_Print_Titles_1_1_2">#REF!</definedName>
    <definedName name="Excel_BuiltIn_Print_Titles_1_1_2_1" localSheetId="0">#REF!</definedName>
    <definedName name="Excel_BuiltIn_Print_Titles_1_1_2_1">#REF!</definedName>
    <definedName name="Excel_BuiltIn_Print_Titles_1_1_3" localSheetId="0">#REF!</definedName>
    <definedName name="Excel_BuiltIn_Print_Titles_1_1_3">#REF!</definedName>
    <definedName name="Excel_BuiltIn_Print_Titles_1_1_3_1" localSheetId="0">#REF!</definedName>
    <definedName name="Excel_BuiltIn_Print_Titles_1_1_3_1">#REF!</definedName>
    <definedName name="Excel_BuiltIn_Print_Titles_1_1_4">"$#REF!.$A$1:$IT$7"</definedName>
    <definedName name="Excel_BuiltIn_Print_Titles_1_1_4_1">"$#REF!.$A$1:$IT$7"</definedName>
    <definedName name="Excel_BuiltIn_Print_Titles_1_1_5">"$#REF!.$A$1:$IT$7"</definedName>
    <definedName name="Excel_BuiltIn_Print_Titles_1_1_5_1">"$#REF!.$A$1:$IT$7"</definedName>
    <definedName name="Excel_BuiltIn_Print_Titles_1_1_6">"$#REF!.$A$1:$IT$7"</definedName>
    <definedName name="Excel_BuiltIn_Print_Titles_1_1_6_1">"$#REF!.$A$1:$IT$7"</definedName>
    <definedName name="Excel_BuiltIn_Print_Titles_1_2" localSheetId="0">#REF!</definedName>
    <definedName name="Excel_BuiltIn_Print_Titles_1_2">#REF!</definedName>
    <definedName name="Excel_BuiltIn_Print_Titles_1_3" localSheetId="0">#REF!</definedName>
    <definedName name="Excel_BuiltIn_Print_Titles_1_3">#REF!</definedName>
    <definedName name="Excel_BuiltIn_Print_Titles_1_4">"$#REF!.$A$7:$IT$11"</definedName>
    <definedName name="Excel_BuiltIn_Print_Titles_1_5">"$#REF!.$A$7:$IT$11"</definedName>
    <definedName name="Excel_BuiltIn_Print_Titles_1_6">"$#REF!.$A$7:$IT$11"</definedName>
    <definedName name="Excel_BuiltIn_Print_Titles_2">"$#REF!.$A$4:$IT$6"</definedName>
    <definedName name="Excel_BuiltIn_Print_Titles_2_1">"$#REF!.$A$4:$IT$6"</definedName>
    <definedName name="Excel_BuiltIn_Print_Titles_2_2">"$#REF!.$A$10:$IV$11"</definedName>
    <definedName name="Excel_BuiltIn_Print_Titles_2_3" localSheetId="0">#REF!</definedName>
    <definedName name="Excel_BuiltIn_Print_Titles_2_3">#REF!</definedName>
    <definedName name="Excel_BuiltIn_Print_Titles_2_4">"$#REF!.$A$4:$IT$6"</definedName>
    <definedName name="Excel_BuiltIn_Print_Titles_2_5">"$#REF!.$A$4:$IT$6"</definedName>
    <definedName name="Excel_BuiltIn_Print_Titles_2_6">"$#REF!.$A$4:$IT$6"</definedName>
    <definedName name="Excel_BuiltIn_Print_Titles_2_7" localSheetId="0">#REF!</definedName>
    <definedName name="Excel_BuiltIn_Print_Titles_2_7">#REF!</definedName>
    <definedName name="Excel_BuiltIn_Print_Titles_3">"$#REF!.$A$1:$IT$8"</definedName>
    <definedName name="Excel_BuiltIn_Print_Titles_3_1" localSheetId="0">#REF!</definedName>
    <definedName name="Excel_BuiltIn_Print_Titles_3_1">#REF!</definedName>
    <definedName name="Excel_BuiltIn_Print_Titles_3_2" localSheetId="0">#REF!</definedName>
    <definedName name="Excel_BuiltIn_Print_Titles_3_2">#REF!</definedName>
    <definedName name="Excel_BuiltIn_Print_Titles_3_3" localSheetId="0">#REF!</definedName>
    <definedName name="Excel_BuiltIn_Print_Titles_3_3">#REF!</definedName>
    <definedName name="Excel_BuiltIn_Print_Titles_3_4">"$#REF!.$A$1:$IT$9"</definedName>
    <definedName name="Excel_BuiltIn_Print_Titles_3_5">"$#REF!.$A$1:$IT$9"</definedName>
    <definedName name="Excel_BuiltIn_Print_Titles_3_6">"$#REF!.$A$1:$IT$9"</definedName>
    <definedName name="Excel_BuiltIn_Print_Titles_4">"$#REF!.$A$9:$IV$10"</definedName>
    <definedName name="Excel_BuiltIn_Print_Titles_4_1">"$#REF!.$A$10:$IS$12"</definedName>
    <definedName name="Excel_BuiltIn_Print_Titles_4_1_1">"$#REF!.$A$10:$IS$12"</definedName>
    <definedName name="Excel_BuiltIn_Print_Titles_4_1_1_1">"$#REF!.$A$10:$HK$12"</definedName>
    <definedName name="Excel_BuiltIn_Print_Titles_4_1_1_1_1">"$#REF!.$A$9:$HE$10"</definedName>
    <definedName name="Excel_BuiltIn_Print_Titles_4_1_1_1_1_1">"$#REF!.$A$10:$IL$11"</definedName>
    <definedName name="Excel_BuiltIn_Print_Titles_4_2">"$#REF!.$A$10:$IS$12"</definedName>
    <definedName name="Excel_BuiltIn_Print_Titles_5" localSheetId="0">#REF!</definedName>
    <definedName name="Excel_BuiltIn_Print_Titles_5">#REF!</definedName>
    <definedName name="Excel_BuiltIn_Print_Titles_5_1">"$#REF!.$A$2:$IV$12"</definedName>
    <definedName name="Excel_BuiltIn_Print_Titles_5_1_1">"$#REF!.$A$1:$IV$11"</definedName>
    <definedName name="Excel_BuiltIn_Print_Titles_5_1_1_1">"$#REF!.$A$8:$IV$11"</definedName>
    <definedName name="Excel_BuiltIn_Print_Titles_5_1_1_1_1">"$#REF!.$A$9:$HQ$12"</definedName>
    <definedName name="Excel_BuiltIn_Print_Titles_5_1_1_1_1_1">"$#REF!.$A$9:$GK$12"</definedName>
    <definedName name="Excel_BuiltIn_Print_Titles_5_1_1_1_1_1_1" localSheetId="0">#REF!</definedName>
    <definedName name="Excel_BuiltIn_Print_Titles_5_1_1_1_1_1_1">#REF!</definedName>
    <definedName name="Excel_BuiltIn_Print_Titles_6">"$#REF!.$A$10:$GK$12"</definedName>
    <definedName name="Excel_BuiltIn_Print_Titles_6_1">"$#REF!.$A$9:$GK$12"</definedName>
    <definedName name="Excel_BuiltIn_Print_Titles_7">"$#REF!.$A$10:$HQ$12"</definedName>
    <definedName name="Excel_BuiltIn_Print_Titles_7_1">"$#REF!.$A$9:$GK$12"</definedName>
    <definedName name="Excel_BuiltIn_Print_Titles_7_1_1" localSheetId="0">#REF!</definedName>
    <definedName name="Excel_BuiltIn_Print_Titles_7_1_1">#REF!</definedName>
    <definedName name="Excel_BuiltIn_Print_Titles_8">"$#REF!.$A$1:$IT$8"</definedName>
    <definedName name="Excel_BuiltIn_Print_Titles_8_1" localSheetId="0">#REF!</definedName>
    <definedName name="Excel_BuiltIn_Print_Titles_8_1">#REF!</definedName>
    <definedName name="Excel_BuiltIn_Print_Titles_8_2" localSheetId="0">#REF!</definedName>
    <definedName name="Excel_BuiltIn_Print_Titles_8_2">#REF!</definedName>
    <definedName name="Excel_BuiltIn_Print_Titles_8_3" localSheetId="0">#REF!</definedName>
    <definedName name="Excel_BuiltIn_Print_Titles_8_3">#REF!</definedName>
    <definedName name="Excel_BuiltIn_Print_Titles_8_4">"$#REF!.$A$1:$IT$9"</definedName>
    <definedName name="Excel_BuiltIn_Print_Titles_8_5">"$#REF!.$A$1:$IT$9"</definedName>
    <definedName name="Excel_BuiltIn_Print_Titles_8_6">"$#REF!.$A$1:$IT$9"</definedName>
    <definedName name="EXTALL">[6]OD!$J$44</definedName>
    <definedName name="fffff" localSheetId="0">#REF!</definedName>
    <definedName name="fffff">#REF!</definedName>
    <definedName name="FOOT">[5]OD!$J$38</definedName>
    <definedName name="Graph">(#REF!,#REF!,#REF!,#REF!,#REF!,#REF!,#REF!,#REF!,#REF!)</definedName>
    <definedName name="h">#REF!</definedName>
    <definedName name="hfghf">[9]_LOD!$A$6:$BG$21</definedName>
    <definedName name="hgjudgkw" localSheetId="0">#REF!</definedName>
    <definedName name="hgjudgkw">#REF!</definedName>
    <definedName name="IGM">[6]OD!$L$44</definedName>
    <definedName name="II">#REF!</definedName>
    <definedName name="iiiiii" localSheetId="0">#REF!</definedName>
    <definedName name="iiiiii">#REF!</definedName>
    <definedName name="ISUZU393">[5]OD!$J$37</definedName>
    <definedName name="ITEM">(#REF!,#REF!,#REF!,#REF!,#REF!,#REF!,#REF!,#REF!,#REF!)</definedName>
    <definedName name="ITEM_13">(#REF!,#REF!,#REF!,#REF!,#REF!,#REF!,#REF!,#REF!,#REF!)</definedName>
    <definedName name="ITEM_17">(#REF!,#REF!,#REF!,#REF!,#REF!,#REF!,#REF!,#REF!,#REF!)</definedName>
    <definedName name="ITEM_2">(#REF!,#REF!,#REF!,#REF!,#REF!,#REF!,#REF!,#REF!,#REF!)</definedName>
    <definedName name="ITSB">[5]OD!$J$33</definedName>
    <definedName name="JSI">[5]OD!$J$102</definedName>
    <definedName name="JTALL">[10]OD!$J$71</definedName>
    <definedName name="K">NA()</definedName>
    <definedName name="K_1">NA()</definedName>
    <definedName name="K_1_1">NA()</definedName>
    <definedName name="K_1_1_1">NA()</definedName>
    <definedName name="K_1_2">NA()</definedName>
    <definedName name="K_1_3">NA()</definedName>
    <definedName name="K_1_4">NA()</definedName>
    <definedName name="K_1_5">NA()</definedName>
    <definedName name="K_1_6">NA()</definedName>
    <definedName name="K_2">NA()</definedName>
    <definedName name="K_3">NA()</definedName>
    <definedName name="K_4">NA()</definedName>
    <definedName name="K_5">NA()</definedName>
    <definedName name="K_6">NA()</definedName>
    <definedName name="kj\" localSheetId="0">#REF!</definedName>
    <definedName name="kj\">#REF!</definedName>
    <definedName name="L4ALL">[5]OD!$J$27</definedName>
    <definedName name="LIST">"$#REF!.$C$1:$H$81"</definedName>
    <definedName name="list_1">"$#REF!.$B$3:$J$88"</definedName>
    <definedName name="ll">#REF!</definedName>
    <definedName name="Master" localSheetId="0">#REF!</definedName>
    <definedName name="Master">#REF!</definedName>
    <definedName name="MFALL">[11]OD!$K$8</definedName>
    <definedName name="MFCC">[11]OD!$I$7</definedName>
    <definedName name="MFCCCKD">[11]OD!$I$10</definedName>
    <definedName name="MFCKDALL">[11]OD!$J$10</definedName>
    <definedName name="MFDC">[11]OD!$I$8</definedName>
    <definedName name="MFDCCKD">[11]OD!$I$11</definedName>
    <definedName name="MFDOMALL">[11]OD!$J$7</definedName>
    <definedName name="MFSC">[11]OD!$I$6</definedName>
    <definedName name="MFSCCKD">[11]OD!$I$9</definedName>
    <definedName name="MGCARALL">[3]OD!$J$63</definedName>
    <definedName name="NKR">[5]OD!$I$32</definedName>
    <definedName name="nn">#REF!</definedName>
    <definedName name="nnnnnn">"$#REF!.$A$10:$IV$12"</definedName>
    <definedName name="NON" hidden="1">[12]HIS!$C$7:$C$32</definedName>
    <definedName name="NOV">"$#REF!.$B$9:$AS$1147"</definedName>
    <definedName name="NOV_1" localSheetId="0">#REF!</definedName>
    <definedName name="NOV_1">#REF!</definedName>
    <definedName name="NOV_2" localSheetId="0">#REF!</definedName>
    <definedName name="NOV_2">#REF!</definedName>
    <definedName name="NOV_3" localSheetId="0">#REF!</definedName>
    <definedName name="NOV_3">#REF!</definedName>
    <definedName name="NOV_4">"$#REF!.$B$13:$AS$1159"</definedName>
    <definedName name="NOV_5">"$#REF!.$B$13:$AS$1159"</definedName>
    <definedName name="NOV_6">"$#REF!.$B$13:$AS$1159"</definedName>
    <definedName name="NPR">[5]OD!$I$31</definedName>
    <definedName name="NQR">[5]OD!$I$30</definedName>
    <definedName name="OBSESVASI">"$#REF!.$S$1"</definedName>
    <definedName name="OOTF">[5]OD!$J$39</definedName>
    <definedName name="p_1" localSheetId="0">#REF!</definedName>
    <definedName name="p_1">#REF!</definedName>
    <definedName name="PAIJO">"$#REF!.$A$1"</definedName>
    <definedName name="PATAN">[13]_LOD!$A$6:$BG$22</definedName>
    <definedName name="PATAN_1" localSheetId="0">#REF!</definedName>
    <definedName name="PATAN_1">#REF!</definedName>
    <definedName name="PCARALL">[3]OD!$K$51</definedName>
    <definedName name="PercentComplete" localSheetId="0">Sheet!PercentCompleteBeyond*Sheet!PeriodInPlan</definedName>
    <definedName name="PercentComplete">PercentCompleteBeyond*PeriodInPlan</definedName>
    <definedName name="PercentCompleteBeyond" localSheetId="0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0">#REF!</definedName>
    <definedName name="period_selected">#REF!</definedName>
    <definedName name="PeriodInActual" localSheetId="0">#REF!=MEDIAN(#REF!,#REF!,#REF!+#REF!-1)</definedName>
    <definedName name="PeriodInActual">#REF!=MEDIAN(#REF!,#REF!,#REF!+#REF!-1)</definedName>
    <definedName name="PeriodInPlan" localSheetId="0">#REF!=MEDIAN(#REF!,#REF!,#REF!+#REF!-1)</definedName>
    <definedName name="PeriodInPlan">#REF!=MEDIAN(#REF!,#REF!,#REF!+#REF!-1)</definedName>
    <definedName name="PICTURE3">#REF!</definedName>
    <definedName name="Plan" localSheetId="0">Sheet!PeriodInPlan*(#REF!&gt;0)</definedName>
    <definedName name="Plan">PeriodInPlan*(#REF!&gt;0)</definedName>
    <definedName name="PLSS_DB">#REF!</definedName>
    <definedName name="poj">"$#REF!.$A$1"</definedName>
    <definedName name="_xlnm.Print_Area">#REF!</definedName>
    <definedName name="Print_Area_MI">#REF!</definedName>
    <definedName name="q">"$#REF!.$A$9:$AT$1113"</definedName>
    <definedName name="q_1">"$#REF!.$A$12:$AO$621"</definedName>
    <definedName name="q_1_1">"$#REF!.$A$12:$AO$621"</definedName>
    <definedName name="q_1_1_1" localSheetId="0">#REF!</definedName>
    <definedName name="q_1_1_1">#REF!</definedName>
    <definedName name="q_1_2" localSheetId="0">#REF!</definedName>
    <definedName name="q_1_2">#REF!</definedName>
    <definedName name="q_1_3" localSheetId="0">#REF!</definedName>
    <definedName name="q_1_3">#REF!</definedName>
    <definedName name="q_1_4">"$#REF!.$A$12:$AO$621"</definedName>
    <definedName name="q_1_5">"$#REF!.$A$12:$AO$623"</definedName>
    <definedName name="q_1_6">"$#REF!.$A$12:$AO$623"</definedName>
    <definedName name="q_2" localSheetId="0">#REF!</definedName>
    <definedName name="q_2">#REF!</definedName>
    <definedName name="q_3" localSheetId="0">#REF!</definedName>
    <definedName name="q_3">#REF!</definedName>
    <definedName name="q_4">"$#REF!.$A$13:$AT$1125"</definedName>
    <definedName name="q_5">"$#REF!.$A$13:$AT$1125"</definedName>
    <definedName name="q_6">"$#REF!.$A$13:$AT$1125"</definedName>
    <definedName name="qqqq">"$#REF!.$A$1:$HE$7"</definedName>
    <definedName name="qqqqq">"$#REF!.$A$1:$HE$7"</definedName>
    <definedName name="QWALL">[14]OD!$J$49</definedName>
    <definedName name="RE">"$#REF!.$S$1"</definedName>
    <definedName name="REALL">[6]OD!$J$42</definedName>
    <definedName name="REK">[6]OD!$I$43</definedName>
    <definedName name="RET">[15]OD!$I$42</definedName>
    <definedName name="REV_LINE_D1">"$#REF!.$A$4:$P$2577"</definedName>
    <definedName name="revisi2">[2]VOLUME!#REF!</definedName>
    <definedName name="revisi3">[2]VOLUME!#REF!</definedName>
    <definedName name="rrr">#REF!</definedName>
    <definedName name="rrrr">"$#REF!.$A$10:$HE$11"</definedName>
    <definedName name="RTTT">"$#REF!.$A$2:$I$1141"</definedName>
    <definedName name="SASS">#REF!</definedName>
    <definedName name="SATU">"$#REF!.$A$2:$B$2"</definedName>
    <definedName name="SCALL">[3]OD!$J$49</definedName>
    <definedName name="SCH" localSheetId="0">#REF!</definedName>
    <definedName name="SCH">#REF!</definedName>
    <definedName name="Small">#REF!</definedName>
    <definedName name="SOLUNA">[5]OD!$J$15</definedName>
    <definedName name="sssss" localSheetId="0">#REF!</definedName>
    <definedName name="sssss">#REF!</definedName>
    <definedName name="STK">NA()</definedName>
    <definedName name="STK_1">NA()</definedName>
    <definedName name="STK_2">NA()</definedName>
    <definedName name="STK_3">NA()</definedName>
    <definedName name="STK_4">NA()</definedName>
    <definedName name="STK_5">NA()</definedName>
    <definedName name="STK_6">NA()</definedName>
    <definedName name="Stock" localSheetId="0">#REF!</definedName>
    <definedName name="Stock">#REF!</definedName>
    <definedName name="SUPLIST">NA()</definedName>
    <definedName name="Supp_List">"$#REF!.$B$1:$H$81"</definedName>
    <definedName name="Supplier_List">NA()</definedName>
    <definedName name="SUPPS">"$#REF!.$AA$52:$AC$153"</definedName>
    <definedName name="T4W4">"$#REF!.$B$12:$AO$248"</definedName>
    <definedName name="TAW47VS">[5]OD!$J$19</definedName>
    <definedName name="TDR">(#REF!,#REF!,#REF!,#REF!,#REF!,#REF!,#REF!,#REF!,#REF!)</definedName>
    <definedName name="TFRALL">[5]OD!$J$34</definedName>
    <definedName name="TIGA">"$#REF!.$A$3:$B$3"</definedName>
    <definedName name="TIGER">[5]OD!$J$16</definedName>
    <definedName name="TIGEREXH">[5]OD!$J$18</definedName>
    <definedName name="tooling">#REF!=MEDIAN(#REF!,#REF!,#REF!+#REF!-1)</definedName>
    <definedName name="try" hidden="1">#REF!</definedName>
    <definedName name="TSK">"$#REF!.$A$2:$B$2"</definedName>
    <definedName name="TSKK">"$#REF!.$A$1"</definedName>
    <definedName name="TTSB">[5]OD!$J$12</definedName>
    <definedName name="TYT316N">[16]OD!$J$22</definedName>
    <definedName name="TYT388N">[16]OD!$J$21</definedName>
    <definedName name="UCS">[5]OD!$J$36</definedName>
    <definedName name="UPT">[11]OD!$J$12</definedName>
    <definedName name="uuuuu" localSheetId="0">#REF!</definedName>
    <definedName name="uuuuu">#REF!</definedName>
    <definedName name="V6AT">[5]OD!$J$29</definedName>
    <definedName name="w">(#REF!,#REF!,#REF!,#REF!,#REF!,#REF!,#REF!,#REF!,#REF!)</definedName>
    <definedName name="xxx">#REF!</definedName>
    <definedName name="ya">(#REF!,#REF!,#REF!,#REF!,#REF!,#REF!,#REF!,#REF!,#REF!)</definedName>
    <definedName name="yyyyy" localSheetId="0">#REF!</definedName>
    <definedName name="yyyyy">#REF!</definedName>
    <definedName name="z_12">#REF!</definedName>
    <definedName name="zoro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1" i="1" l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10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7" i="1"/>
  <c r="AE8" i="1"/>
  <c r="AE9" i="1"/>
  <c r="AE7" i="1"/>
</calcChain>
</file>

<file path=xl/sharedStrings.xml><?xml version="1.0" encoding="utf-8"?>
<sst xmlns="http://schemas.openxmlformats.org/spreadsheetml/2006/main" count="38" uniqueCount="23">
  <si>
    <t>NO</t>
  </si>
  <si>
    <t>Part Name</t>
  </si>
  <si>
    <t>Material Dimention</t>
  </si>
  <si>
    <t>Pitch</t>
  </si>
  <si>
    <t>Thick</t>
  </si>
  <si>
    <t>Width</t>
  </si>
  <si>
    <t>Length</t>
  </si>
  <si>
    <t>Length2</t>
  </si>
  <si>
    <t>Part No</t>
  </si>
  <si>
    <r>
      <t xml:space="preserve">Density
</t>
    </r>
    <r>
      <rPr>
        <sz val="28"/>
        <color theme="1"/>
        <rFont val="Arial Narrow"/>
        <family val="2"/>
      </rPr>
      <t>(Default)</t>
    </r>
  </si>
  <si>
    <t>Weight (Kg)</t>
  </si>
  <si>
    <t>Net Weight (Kg)</t>
  </si>
  <si>
    <r>
      <t xml:space="preserve">Price/ (Kg)
</t>
    </r>
    <r>
      <rPr>
        <sz val="28"/>
        <color theme="1"/>
        <rFont val="Arial Narrow"/>
        <family val="2"/>
      </rPr>
      <t>(Default)</t>
    </r>
  </si>
  <si>
    <t>Material Spec</t>
  </si>
  <si>
    <r>
      <t xml:space="preserve">Unit Type
</t>
    </r>
    <r>
      <rPr>
        <sz val="26"/>
        <color theme="1"/>
        <rFont val="Arial Narrow"/>
        <family val="2"/>
      </rPr>
      <t>(Sheet, Coil, Trapezoid)</t>
    </r>
  </si>
  <si>
    <r>
      <t xml:space="preserve">EBD Version
</t>
    </r>
    <r>
      <rPr>
        <sz val="28"/>
        <color theme="1"/>
        <rFont val="Arial Narrow"/>
        <family val="2"/>
      </rPr>
      <t>(eg. EBD 1)</t>
    </r>
  </si>
  <si>
    <r>
      <t xml:space="preserve">EBD Suffix
</t>
    </r>
    <r>
      <rPr>
        <sz val="28"/>
        <color theme="1"/>
        <rFont val="Arial Narrow"/>
        <family val="2"/>
      </rPr>
      <t>(eg. SQ)</t>
    </r>
  </si>
  <si>
    <t>Remark</t>
  </si>
  <si>
    <r>
      <t xml:space="preserve">EBD Version
</t>
    </r>
    <r>
      <rPr>
        <sz val="28"/>
        <color theme="1"/>
        <rFont val="Arial Narrow"/>
        <family val="2"/>
      </rPr>
      <t>(eg. EBD 2)</t>
    </r>
  </si>
  <si>
    <r>
      <t xml:space="preserve">EBD Suffix
</t>
    </r>
    <r>
      <rPr>
        <sz val="28"/>
        <color theme="1"/>
        <rFont val="Arial Narrow"/>
        <family val="2"/>
      </rPr>
      <t>(eg. Tech Review)</t>
    </r>
  </si>
  <si>
    <t>VA/VE Material Analysis Master</t>
  </si>
  <si>
    <t>Pcs/ Pitch</t>
  </si>
  <si>
    <t>Pcs/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</si>
</sst>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48"/>
      <color theme="1"/>
      <name val="Arial Narrow"/>
      <family val="2"/>
    </font>
    <font>
      <b/>
      <sz val="20"/>
      <color theme="1"/>
      <name val="Arial Narrow"/>
      <family val="2"/>
    </font>
    <font>
      <b/>
      <sz val="28"/>
      <color theme="1"/>
      <name val="Arial Narrow"/>
      <family val="2"/>
    </font>
    <font>
      <sz val="24"/>
      <color theme="1"/>
      <name val="Arial Narrow"/>
      <family val="2"/>
    </font>
    <font>
      <b/>
      <sz val="28"/>
      <color theme="1"/>
      <name val="Calibri"/>
      <family val="2"/>
      <scheme val="minor"/>
    </font>
    <font>
      <b/>
      <sz val="18"/>
      <color theme="1"/>
      <name val="Arial Narrow"/>
      <family val="2"/>
    </font>
    <font>
      <b/>
      <sz val="26"/>
      <color theme="1"/>
      <name val="Arial Narrow"/>
      <family val="2"/>
    </font>
    <font>
      <sz val="28"/>
      <color theme="1"/>
      <name val="Arial Narrow"/>
      <family val="2"/>
    </font>
    <font>
      <sz val="18"/>
      <color theme="1"/>
      <name val="Arial Narrow"/>
      <family val="2"/>
    </font>
    <font>
      <sz val="22"/>
      <color theme="1"/>
      <name val="Arial Narrow"/>
      <family val="2"/>
    </font>
    <font>
      <sz val="24"/>
      <name val="Arial Narrow"/>
      <family val="2"/>
    </font>
    <font>
      <sz val="8"/>
      <name val="Calibri"/>
      <family val="2"/>
      <scheme val="minor"/>
    </font>
    <font>
      <sz val="26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9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10" fillId="0" borderId="3" xfId="1" applyFont="1" applyBorder="1" applyAlignment="1">
      <alignment vertical="center" wrapText="1"/>
    </xf>
    <xf numFmtId="9" fontId="10" fillId="0" borderId="3" xfId="2" applyFont="1" applyFill="1" applyBorder="1" applyAlignment="1">
      <alignment horizontal="center" vertical="center" wrapText="1"/>
    </xf>
    <xf numFmtId="0" fontId="10" fillId="0" borderId="3" xfId="2" applyNumberFormat="1" applyFont="1" applyFill="1" applyBorder="1" applyAlignment="1">
      <alignment horizontal="center" vertical="center" wrapText="1"/>
    </xf>
    <xf numFmtId="1" fontId="12" fillId="0" borderId="11" xfId="1" applyNumberFormat="1" applyFont="1" applyBorder="1" applyAlignment="1">
      <alignment horizontal="center" vertical="center" wrapText="1"/>
    </xf>
    <xf numFmtId="2" fontId="10" fillId="2" borderId="3" xfId="2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0" fillId="2" borderId="3" xfId="2" applyNumberFormat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textRotation="90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5" fontId="5" fillId="0" borderId="4" xfId="0" applyNumberFormat="1" applyFont="1" applyBorder="1" applyAlignment="1">
      <alignment horizontal="center" vertical="center" textRotation="90" wrapText="1"/>
    </xf>
    <xf numFmtId="15" fontId="5" fillId="0" borderId="7" xfId="0" applyNumberFormat="1" applyFont="1" applyBorder="1" applyAlignment="1">
      <alignment horizontal="center" vertical="center" textRotation="90" wrapText="1"/>
    </xf>
    <xf numFmtId="15" fontId="5" fillId="0" borderId="10" xfId="0" applyNumberFormat="1" applyFont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textRotation="90" wrapText="1"/>
    </xf>
  </cellXfs>
  <cellStyles count="3">
    <cellStyle name="Normal" xfId="0" builtinId="0"/>
    <cellStyle name="Normal 5" xfId="1" xr:uid="{50387295-31DF-4AA0-9022-92CEDB8181EB}"/>
    <cellStyle name="Percent 4 2" xfId="2" xr:uid="{73112293-CC45-436C-9EE3-C5B7210A42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155000</xdr:colOff>
      <xdr:row>0</xdr:row>
      <xdr:rowOff>503094</xdr:rowOff>
    </xdr:from>
    <xdr:to>
      <xdr:col>3</xdr:col>
      <xdr:colOff>627262</xdr:colOff>
      <xdr:row>0</xdr:row>
      <xdr:rowOff>1663412</xdr:rowOff>
    </xdr:to>
    <xdr:pic>
      <xdr:nvPicPr>
        <xdr:cNvPr id="2" name="Picture 1" descr="LOGO SAI 2015.png">
          <a:extLst>
            <a:ext uri="{FF2B5EF4-FFF2-40B4-BE49-F238E27FC236}">
              <a16:creationId xmlns:a16="http://schemas.microsoft.com/office/drawing/2014/main" id="{782CD07A-6E73-4C92-B924-9BC15F335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3600" y="503094"/>
          <a:ext cx="4526102" cy="1160318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15</xdr:row>
      <xdr:rowOff>495300</xdr:rowOff>
    </xdr:from>
    <xdr:to>
      <xdr:col>20</xdr:col>
      <xdr:colOff>0</xdr:colOff>
      <xdr:row>16</xdr:row>
      <xdr:rowOff>404141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6ABFC01-BE75-4395-AB95-01D555048087}"/>
            </a:ext>
          </a:extLst>
        </xdr:cNvPr>
        <xdr:cNvGrpSpPr/>
      </xdr:nvGrpSpPr>
      <xdr:grpSpPr>
        <a:xfrm>
          <a:off x="33027938" y="20926425"/>
          <a:ext cx="0" cy="1504279"/>
          <a:chOff x="63665100" y="150342600"/>
          <a:chExt cx="1016508" cy="908966"/>
        </a:xfrm>
      </xdr:grpSpPr>
      <xdr:sp macro="" textlink="">
        <xdr:nvSpPr>
          <xdr:cNvPr id="5" name="Isosceles Triangle 4">
            <a:extLst>
              <a:ext uri="{FF2B5EF4-FFF2-40B4-BE49-F238E27FC236}">
                <a16:creationId xmlns:a16="http://schemas.microsoft.com/office/drawing/2014/main" id="{384F54CD-ED2B-1FBB-7238-DA8902041BBA}"/>
              </a:ext>
            </a:extLst>
          </xdr:cNvPr>
          <xdr:cNvSpPr/>
        </xdr:nvSpPr>
        <xdr:spPr>
          <a:xfrm>
            <a:off x="63665100" y="150342600"/>
            <a:ext cx="1016508" cy="847725"/>
          </a:xfrm>
          <a:prstGeom prst="triangl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5B81962-7838-BED6-88E0-E50C897525BB}"/>
              </a:ext>
            </a:extLst>
          </xdr:cNvPr>
          <xdr:cNvSpPr txBox="1"/>
        </xdr:nvSpPr>
        <xdr:spPr>
          <a:xfrm>
            <a:off x="63969900" y="150533100"/>
            <a:ext cx="444674" cy="71846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4000"/>
              <a:t>1</a:t>
            </a:r>
          </a:p>
        </xdr:txBody>
      </xdr:sp>
    </xdr:grpSp>
    <xdr:clientData/>
  </xdr:twoCellAnchor>
  <xdr:twoCellAnchor>
    <xdr:from>
      <xdr:col>20</xdr:col>
      <xdr:colOff>0</xdr:colOff>
      <xdr:row>9</xdr:row>
      <xdr:rowOff>495300</xdr:rowOff>
    </xdr:from>
    <xdr:to>
      <xdr:col>20</xdr:col>
      <xdr:colOff>0</xdr:colOff>
      <xdr:row>10</xdr:row>
      <xdr:rowOff>404141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10DFFA1-D773-4E77-8B06-25C9C10828AC}"/>
            </a:ext>
          </a:extLst>
        </xdr:cNvPr>
        <xdr:cNvGrpSpPr/>
      </xdr:nvGrpSpPr>
      <xdr:grpSpPr>
        <a:xfrm>
          <a:off x="33027938" y="11353800"/>
          <a:ext cx="0" cy="1504279"/>
          <a:chOff x="63665100" y="150342600"/>
          <a:chExt cx="1016508" cy="908966"/>
        </a:xfrm>
      </xdr:grpSpPr>
      <xdr:sp macro="" textlink="">
        <xdr:nvSpPr>
          <xdr:cNvPr id="7" name="Isosceles Triangle 6">
            <a:extLst>
              <a:ext uri="{FF2B5EF4-FFF2-40B4-BE49-F238E27FC236}">
                <a16:creationId xmlns:a16="http://schemas.microsoft.com/office/drawing/2014/main" id="{60270E01-D891-27A2-D619-772C26E45FD7}"/>
              </a:ext>
            </a:extLst>
          </xdr:cNvPr>
          <xdr:cNvSpPr/>
        </xdr:nvSpPr>
        <xdr:spPr>
          <a:xfrm>
            <a:off x="63665100" y="150342600"/>
            <a:ext cx="1016508" cy="847725"/>
          </a:xfrm>
          <a:prstGeom prst="triangl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B7A240A-3046-5AA2-5BEC-F4FAA3EB0CA4}"/>
              </a:ext>
            </a:extLst>
          </xdr:cNvPr>
          <xdr:cNvSpPr txBox="1"/>
        </xdr:nvSpPr>
        <xdr:spPr>
          <a:xfrm>
            <a:off x="63969900" y="150533100"/>
            <a:ext cx="444674" cy="71846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4000"/>
              <a:t>1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659FB0A\10.Resume%20Prc%20stp+eg%204~6'13%20(9700_98.98)%20(mat+17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\Engineering\Engineering\01.KERJAAN\2013\PRICING%202013\APR'13~JUN'13%20(9700_98.98)(MAT+130)-RATE%202013-All.Local-Quot\10.Resume%20Prc%20stp+eg%204~6'13%20(9700_98.98)%20(mat+130)Rev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92.168.1.14\engineering\192.168.1.14\engineering\192.168.1.14\engineering\192.168.1.14\engineering\Ssd_document\tl_user\TOOLING\X.&#3626;&#3617;&#3594;&#3634;&#3618;\MAINTENANCE\Production%2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\Engineering\Engineering\01.KERJAAN\2013\PRICING%202013\JAN'13~MAR'13%20(9085_101.06)(MAT+80)-RATE%202010-All.Local-Quot\10.Resume%20Prc%20stp+eg%2010~12'10%20(9085_101.06)%20(mat+80)-All.Local-for%20Quot%201-3'1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92.168.1.14\engineering\192.168.1.14\engineering\192.168.1.14\engineering\192.168.1.14\engineering\Ssd_document\tl_user\TOOLING\X.&#3626;&#3617;&#3594;&#3634;&#3618;\MAINTENANCE\Production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92.168.1.14\engineering\192.168.1.14\engineering\192.168.1.14\engineering\192.168.1.14\engineering\Ssd_document\tl_user\TOOLING\X.&#3626;&#3617;&#3594;&#3634;&#3618;\MAINTENANCE\Production%20Capacity%20DEC%202001%20tool%2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\Engineering\Engineering\Documents%20and%20Settings\tidardan\Local%20Settings\Temporary%20Internet%20Files\Content.IE5\J9KIR32Y\ReportBudgetSon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\Engineering\Engineering\SARI%20FILES\Control%20Material%202013\Oktober\Documents\DATA%20ANTON%202\PATAN%20ADK\patan%202012\9.%20SEPT%202012\progresive%20Sept.%202012\LOADINGP%20ROGGRESSIVE%20P2%20Sept.%20201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\Engineering\Engineering\SARI%20FILES\Control%20Material%202013\Oktober\Documents\DATA%20ANTON%202\PATAN%20ADK\patan%202013\2.Februari%202013\small%20pres%20Feb.%202013\LOADING%20D1%20NOV%20201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92.168.1.14\engineering\192.168.1.14\engineering\192.168.1.14\engineering\192.168.1.14\engineering\Ssd_document\tl_user\TOOLING\X.&#3626;&#3617;&#3594;&#3634;&#3618;\MAINTENANCE\Production%20Capacity%20&#3607;&#3635;&#3649;&#3612;&#3609;&#3649;&#3621;&#3632;&#3611;&#3619;&#3632;&#3623;&#3633;&#3605;&#36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.1.48/PLAN_PREVENTIVE/YEAR/MMTH/My%20Documents/Production%20Capacity%20DEC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tidardan\Local%20Settings\Temporary%20Internet%20Files\Content.IE5\VBZBYO2J\ELECT-MF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\Engineering\Engineering\SARI%20FILES\Control%20Material%202013\Oktober\Documents\DATA%20ANTON%202\PATAN%20ADK\patan%202013\2.Februari%202013\small%20pres%20Feb.%202013\1.LOADING%20D1%20Feb.%20201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92.168.1.14\engineering\192.168.1.14\engineering\192.168.1.14\engineering\192.168.1.14\engineering\Ssd_document\tl_user\TOOLING\X.&#3626;&#3617;&#3594;&#3634;&#3618;\MAINTENANCE\Production%20Capacity%20DEC%202001%20too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.1.48/DATA/TOOLING/X.&#3626;&#3617;&#3594;&#3634;&#3618;/MAINTENANCE/Production%20Capacity%20DEC%202001%20tool%2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92.168.1.14\engineering\192.168.1.14\engineering\192.168.1.14\engineering\192.168.1.14\engineering\Ssd_document\tl_user\TOOLING\X.&#3626;&#3617;&#3594;&#3634;&#3618;\MAINTENANCE\Production%20Capacity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KLON"/>
      <sheetName val="rekap"/>
      <sheetName val="VOLUME"/>
      <sheetName val="Sheet2"/>
      <sheetName val="Formulir"/>
      <sheetName val="RESUME"/>
      <sheetName val="PRICE APR-JUN'10"/>
      <sheetName val="CJ"/>
      <sheetName val="MAVEN"/>
      <sheetName val="L300"/>
      <sheetName val="TD"/>
      <sheetName val="FUSO"/>
      <sheetName val="REKAP SALES (BP)"/>
      <sheetName val="ZC-CURRENT"/>
      <sheetName val="SALES DETAIL (prc-bp;vol-sass)"/>
      <sheetName val="QTY &amp; PRICE "/>
      <sheetName val="SALES 2010 (SASS-OCT'10)"/>
      <sheetName val="SALES DETAIL (prc new,vol-bp"/>
      <sheetName val="SALES DETAIL (prc new,vol.sass)"/>
      <sheetName val="COMP.PRICE BY MODEL"/>
      <sheetName val="SALES DETAIL (prc-bp;vol-sa (2)"/>
      <sheetName val="Data_Analysis"/>
      <sheetName val="ZC"/>
      <sheetName val="PRICE_APR-JUN'10"/>
      <sheetName val="REKAP_SALES_(BP)"/>
      <sheetName val="SALES_DETAIL_(prc-bp;vol-sass)"/>
      <sheetName val="QTY_&amp;_PRICE_"/>
      <sheetName val="SALES_2010_(SASS-OCT'10)"/>
      <sheetName val="SALES_DETAIL_(prc_new,vol-bp"/>
      <sheetName val="SALES_DETAIL_(prc_new,vol_sass)"/>
      <sheetName val="COMP_PRICE_BY_MODEL"/>
      <sheetName val="SALES_DETAIL_(prc-bp;vol-sa_(2)"/>
    </sheetNames>
    <sheetDataSet>
      <sheetData sheetId="0"/>
      <sheetData sheetId="1"/>
      <sheetData sheetId="2">
        <row r="6">
          <cell r="C6">
            <v>336</v>
          </cell>
          <cell r="D6">
            <v>672</v>
          </cell>
          <cell r="E6">
            <v>48</v>
          </cell>
          <cell r="F6">
            <v>0</v>
          </cell>
          <cell r="G6">
            <v>0</v>
          </cell>
          <cell r="H6">
            <v>0</v>
          </cell>
          <cell r="I6">
            <v>360</v>
          </cell>
          <cell r="J6">
            <v>900</v>
          </cell>
          <cell r="K6">
            <v>180</v>
          </cell>
          <cell r="L6">
            <v>480</v>
          </cell>
          <cell r="M6">
            <v>480</v>
          </cell>
          <cell r="N6">
            <v>60</v>
          </cell>
          <cell r="O6">
            <v>1140</v>
          </cell>
          <cell r="P6">
            <v>600</v>
          </cell>
          <cell r="Q6">
            <v>60</v>
          </cell>
          <cell r="R6">
            <v>0</v>
          </cell>
          <cell r="S6">
            <v>24</v>
          </cell>
          <cell r="T6">
            <v>0</v>
          </cell>
          <cell r="U6">
            <v>0</v>
          </cell>
          <cell r="V6">
            <v>72</v>
          </cell>
          <cell r="W6">
            <v>96</v>
          </cell>
          <cell r="X6">
            <v>48</v>
          </cell>
          <cell r="Y6">
            <v>24</v>
          </cell>
          <cell r="Z6">
            <v>36</v>
          </cell>
          <cell r="AA6">
            <v>108</v>
          </cell>
        </row>
        <row r="7">
          <cell r="C7">
            <v>240</v>
          </cell>
          <cell r="D7">
            <v>624</v>
          </cell>
          <cell r="E7">
            <v>48</v>
          </cell>
          <cell r="F7">
            <v>0</v>
          </cell>
          <cell r="G7">
            <v>0</v>
          </cell>
          <cell r="H7">
            <v>24</v>
          </cell>
          <cell r="I7">
            <v>360</v>
          </cell>
          <cell r="J7">
            <v>780</v>
          </cell>
          <cell r="K7">
            <v>180</v>
          </cell>
          <cell r="L7">
            <v>480</v>
          </cell>
          <cell r="M7">
            <v>540</v>
          </cell>
          <cell r="N7">
            <v>120</v>
          </cell>
          <cell r="O7">
            <v>1140</v>
          </cell>
          <cell r="P7">
            <v>660</v>
          </cell>
          <cell r="Q7">
            <v>60</v>
          </cell>
          <cell r="R7">
            <v>60</v>
          </cell>
          <cell r="S7">
            <v>48</v>
          </cell>
          <cell r="T7">
            <v>0</v>
          </cell>
          <cell r="U7">
            <v>24</v>
          </cell>
          <cell r="V7">
            <v>48</v>
          </cell>
          <cell r="W7">
            <v>96</v>
          </cell>
          <cell r="X7">
            <v>48</v>
          </cell>
          <cell r="Y7">
            <v>24</v>
          </cell>
          <cell r="Z7">
            <v>36</v>
          </cell>
          <cell r="AA7">
            <v>120</v>
          </cell>
        </row>
        <row r="8">
          <cell r="C8">
            <v>288</v>
          </cell>
          <cell r="D8">
            <v>672</v>
          </cell>
          <cell r="E8">
            <v>48</v>
          </cell>
          <cell r="F8">
            <v>48</v>
          </cell>
          <cell r="G8">
            <v>24</v>
          </cell>
          <cell r="H8">
            <v>24</v>
          </cell>
          <cell r="I8">
            <v>420</v>
          </cell>
          <cell r="J8">
            <v>780</v>
          </cell>
          <cell r="K8">
            <v>180</v>
          </cell>
          <cell r="L8">
            <v>540</v>
          </cell>
          <cell r="M8">
            <v>660</v>
          </cell>
          <cell r="N8">
            <v>60</v>
          </cell>
          <cell r="O8">
            <v>1200</v>
          </cell>
          <cell r="P8">
            <v>720</v>
          </cell>
          <cell r="Q8">
            <v>60</v>
          </cell>
          <cell r="R8">
            <v>60</v>
          </cell>
          <cell r="S8">
            <v>24</v>
          </cell>
          <cell r="T8">
            <v>0</v>
          </cell>
          <cell r="U8">
            <v>0</v>
          </cell>
          <cell r="V8">
            <v>72</v>
          </cell>
          <cell r="W8">
            <v>96</v>
          </cell>
          <cell r="X8">
            <v>24</v>
          </cell>
          <cell r="Y8">
            <v>24</v>
          </cell>
          <cell r="Z8">
            <v>36</v>
          </cell>
          <cell r="AA8">
            <v>108</v>
          </cell>
        </row>
        <row r="9">
          <cell r="C9">
            <v>288</v>
          </cell>
          <cell r="D9">
            <v>720</v>
          </cell>
          <cell r="E9">
            <v>48</v>
          </cell>
          <cell r="F9">
            <v>48</v>
          </cell>
          <cell r="G9">
            <v>48</v>
          </cell>
          <cell r="H9">
            <v>24</v>
          </cell>
          <cell r="I9">
            <v>360</v>
          </cell>
          <cell r="J9">
            <v>840</v>
          </cell>
          <cell r="K9">
            <v>240</v>
          </cell>
          <cell r="L9">
            <v>480</v>
          </cell>
          <cell r="M9">
            <v>660</v>
          </cell>
          <cell r="N9">
            <v>120</v>
          </cell>
          <cell r="O9">
            <v>1200</v>
          </cell>
          <cell r="P9">
            <v>780</v>
          </cell>
          <cell r="Q9">
            <v>60</v>
          </cell>
          <cell r="R9">
            <v>60</v>
          </cell>
          <cell r="S9">
            <v>24</v>
          </cell>
          <cell r="T9">
            <v>0</v>
          </cell>
          <cell r="U9">
            <v>24</v>
          </cell>
          <cell r="V9">
            <v>96</v>
          </cell>
          <cell r="W9">
            <v>120</v>
          </cell>
          <cell r="X9">
            <v>48</v>
          </cell>
          <cell r="Y9">
            <v>24</v>
          </cell>
          <cell r="Z9">
            <v>48</v>
          </cell>
          <cell r="AA9">
            <v>120</v>
          </cell>
        </row>
        <row r="10">
          <cell r="C10">
            <v>288</v>
          </cell>
          <cell r="D10">
            <v>672</v>
          </cell>
          <cell r="E10">
            <v>48</v>
          </cell>
          <cell r="F10">
            <v>48</v>
          </cell>
          <cell r="G10">
            <v>24</v>
          </cell>
          <cell r="H10">
            <v>24</v>
          </cell>
          <cell r="I10">
            <v>360</v>
          </cell>
          <cell r="J10">
            <v>840</v>
          </cell>
          <cell r="K10">
            <v>180</v>
          </cell>
          <cell r="L10">
            <v>540</v>
          </cell>
          <cell r="M10">
            <v>540</v>
          </cell>
          <cell r="N10">
            <v>60</v>
          </cell>
          <cell r="O10">
            <v>1140</v>
          </cell>
          <cell r="P10">
            <v>720</v>
          </cell>
          <cell r="Q10">
            <v>60</v>
          </cell>
          <cell r="R10">
            <v>60</v>
          </cell>
          <cell r="S10">
            <v>24</v>
          </cell>
          <cell r="T10">
            <v>0</v>
          </cell>
          <cell r="U10">
            <v>0</v>
          </cell>
          <cell r="V10">
            <v>72</v>
          </cell>
          <cell r="W10">
            <v>96</v>
          </cell>
          <cell r="X10">
            <v>48</v>
          </cell>
          <cell r="Y10">
            <v>36</v>
          </cell>
          <cell r="Z10">
            <v>60</v>
          </cell>
          <cell r="AA10">
            <v>120</v>
          </cell>
        </row>
        <row r="11">
          <cell r="C11">
            <v>288</v>
          </cell>
          <cell r="D11">
            <v>624</v>
          </cell>
          <cell r="E11">
            <v>48</v>
          </cell>
          <cell r="F11">
            <v>0</v>
          </cell>
          <cell r="G11">
            <v>0</v>
          </cell>
          <cell r="H11">
            <v>24</v>
          </cell>
          <cell r="I11">
            <v>420</v>
          </cell>
          <cell r="J11">
            <v>720</v>
          </cell>
          <cell r="K11">
            <v>240</v>
          </cell>
          <cell r="L11">
            <v>660</v>
          </cell>
          <cell r="M11">
            <v>720</v>
          </cell>
          <cell r="N11">
            <v>120</v>
          </cell>
          <cell r="O11">
            <v>1260</v>
          </cell>
          <cell r="P11">
            <v>840</v>
          </cell>
          <cell r="Q11">
            <v>60</v>
          </cell>
          <cell r="R11">
            <v>60</v>
          </cell>
          <cell r="S11">
            <v>48</v>
          </cell>
          <cell r="T11">
            <v>0</v>
          </cell>
          <cell r="U11">
            <v>24</v>
          </cell>
          <cell r="V11">
            <v>48</v>
          </cell>
          <cell r="W11">
            <v>120</v>
          </cell>
          <cell r="X11">
            <v>48</v>
          </cell>
          <cell r="Y11">
            <v>24</v>
          </cell>
          <cell r="Z11">
            <v>48</v>
          </cell>
          <cell r="AA11">
            <v>120</v>
          </cell>
        </row>
        <row r="12">
          <cell r="C12">
            <v>288</v>
          </cell>
          <cell r="D12">
            <v>720</v>
          </cell>
          <cell r="E12">
            <v>96</v>
          </cell>
          <cell r="F12">
            <v>0</v>
          </cell>
          <cell r="G12">
            <v>24</v>
          </cell>
          <cell r="H12">
            <v>48</v>
          </cell>
          <cell r="I12">
            <v>360</v>
          </cell>
          <cell r="J12">
            <v>840</v>
          </cell>
          <cell r="K12">
            <v>180</v>
          </cell>
          <cell r="L12">
            <v>600</v>
          </cell>
          <cell r="M12">
            <v>540</v>
          </cell>
          <cell r="N12">
            <v>120</v>
          </cell>
          <cell r="O12">
            <v>1080</v>
          </cell>
          <cell r="P12">
            <v>720</v>
          </cell>
          <cell r="Q12">
            <v>60</v>
          </cell>
          <cell r="R12">
            <v>60</v>
          </cell>
          <cell r="S12">
            <v>24</v>
          </cell>
          <cell r="T12">
            <v>0</v>
          </cell>
          <cell r="U12">
            <v>0</v>
          </cell>
          <cell r="V12">
            <v>72</v>
          </cell>
          <cell r="W12">
            <v>120</v>
          </cell>
          <cell r="X12">
            <v>24</v>
          </cell>
          <cell r="Y12">
            <v>36</v>
          </cell>
          <cell r="Z12">
            <v>24</v>
          </cell>
          <cell r="AA12">
            <v>120</v>
          </cell>
        </row>
        <row r="13">
          <cell r="C13">
            <v>288</v>
          </cell>
          <cell r="D13">
            <v>720</v>
          </cell>
          <cell r="E13">
            <v>48</v>
          </cell>
          <cell r="F13">
            <v>48</v>
          </cell>
          <cell r="G13">
            <v>48</v>
          </cell>
          <cell r="H13">
            <v>24</v>
          </cell>
          <cell r="I13">
            <v>420</v>
          </cell>
          <cell r="J13">
            <v>900</v>
          </cell>
          <cell r="K13">
            <v>180</v>
          </cell>
          <cell r="L13">
            <v>660</v>
          </cell>
          <cell r="M13">
            <v>720</v>
          </cell>
          <cell r="N13">
            <v>120</v>
          </cell>
          <cell r="O13">
            <v>1200</v>
          </cell>
          <cell r="P13">
            <v>840</v>
          </cell>
          <cell r="Q13">
            <v>60</v>
          </cell>
          <cell r="R13">
            <v>60</v>
          </cell>
          <cell r="S13">
            <v>24</v>
          </cell>
          <cell r="T13">
            <v>0</v>
          </cell>
          <cell r="U13">
            <v>24</v>
          </cell>
          <cell r="V13">
            <v>72</v>
          </cell>
          <cell r="W13">
            <v>96</v>
          </cell>
          <cell r="X13">
            <v>48</v>
          </cell>
          <cell r="Y13">
            <v>24</v>
          </cell>
          <cell r="Z13">
            <v>48</v>
          </cell>
          <cell r="AA13">
            <v>120</v>
          </cell>
        </row>
        <row r="14">
          <cell r="C14">
            <v>192</v>
          </cell>
          <cell r="D14">
            <v>576</v>
          </cell>
          <cell r="E14">
            <v>48</v>
          </cell>
          <cell r="F14">
            <v>0</v>
          </cell>
          <cell r="G14">
            <v>0</v>
          </cell>
          <cell r="H14">
            <v>24</v>
          </cell>
          <cell r="I14">
            <v>240</v>
          </cell>
          <cell r="J14">
            <v>600</v>
          </cell>
          <cell r="K14">
            <v>120</v>
          </cell>
          <cell r="L14">
            <v>480</v>
          </cell>
          <cell r="M14">
            <v>480</v>
          </cell>
          <cell r="N14">
            <v>60</v>
          </cell>
          <cell r="O14">
            <v>1020</v>
          </cell>
          <cell r="P14">
            <v>600</v>
          </cell>
          <cell r="Q14">
            <v>60</v>
          </cell>
          <cell r="R14">
            <v>0</v>
          </cell>
          <cell r="S14">
            <v>24</v>
          </cell>
          <cell r="T14">
            <v>0</v>
          </cell>
          <cell r="U14">
            <v>0</v>
          </cell>
          <cell r="V14">
            <v>48</v>
          </cell>
          <cell r="W14">
            <v>96</v>
          </cell>
          <cell r="X14">
            <v>48</v>
          </cell>
          <cell r="Y14">
            <v>24</v>
          </cell>
          <cell r="Z14">
            <v>24</v>
          </cell>
          <cell r="AA14">
            <v>96</v>
          </cell>
        </row>
        <row r="15">
          <cell r="C15">
            <v>144</v>
          </cell>
          <cell r="D15">
            <v>624</v>
          </cell>
          <cell r="E15">
            <v>48</v>
          </cell>
          <cell r="F15">
            <v>0</v>
          </cell>
          <cell r="G15">
            <v>0</v>
          </cell>
          <cell r="H15">
            <v>24</v>
          </cell>
          <cell r="I15">
            <v>240</v>
          </cell>
          <cell r="J15">
            <v>660</v>
          </cell>
          <cell r="K15">
            <v>180</v>
          </cell>
          <cell r="L15">
            <v>540</v>
          </cell>
          <cell r="M15">
            <v>480</v>
          </cell>
          <cell r="N15">
            <v>60</v>
          </cell>
          <cell r="O15">
            <v>1020</v>
          </cell>
          <cell r="P15">
            <v>600</v>
          </cell>
          <cell r="Q15">
            <v>0</v>
          </cell>
          <cell r="R15">
            <v>60</v>
          </cell>
          <cell r="S15">
            <v>24</v>
          </cell>
          <cell r="T15">
            <v>0</v>
          </cell>
          <cell r="U15">
            <v>24</v>
          </cell>
          <cell r="V15">
            <v>48</v>
          </cell>
          <cell r="W15">
            <v>96</v>
          </cell>
          <cell r="X15">
            <v>24</v>
          </cell>
          <cell r="Y15">
            <v>12</v>
          </cell>
          <cell r="Z15">
            <v>36</v>
          </cell>
          <cell r="AA15">
            <v>84</v>
          </cell>
        </row>
        <row r="16">
          <cell r="C16">
            <v>288</v>
          </cell>
          <cell r="D16">
            <v>672</v>
          </cell>
          <cell r="E16">
            <v>48</v>
          </cell>
          <cell r="F16">
            <v>0</v>
          </cell>
          <cell r="G16">
            <v>24</v>
          </cell>
          <cell r="H16">
            <v>24</v>
          </cell>
          <cell r="I16">
            <v>360</v>
          </cell>
          <cell r="J16">
            <v>780</v>
          </cell>
          <cell r="K16">
            <v>120</v>
          </cell>
          <cell r="L16">
            <v>600</v>
          </cell>
          <cell r="M16">
            <v>600</v>
          </cell>
          <cell r="N16">
            <v>120</v>
          </cell>
          <cell r="O16">
            <v>1260</v>
          </cell>
          <cell r="P16">
            <v>780</v>
          </cell>
          <cell r="Q16">
            <v>60</v>
          </cell>
          <cell r="R16">
            <v>0</v>
          </cell>
          <cell r="S16">
            <v>24</v>
          </cell>
          <cell r="T16">
            <v>0</v>
          </cell>
          <cell r="U16">
            <v>0</v>
          </cell>
          <cell r="V16">
            <v>72</v>
          </cell>
          <cell r="W16">
            <v>96</v>
          </cell>
          <cell r="X16">
            <v>24</v>
          </cell>
          <cell r="Y16">
            <v>24</v>
          </cell>
          <cell r="Z16">
            <v>36</v>
          </cell>
          <cell r="AA16">
            <v>96</v>
          </cell>
        </row>
        <row r="17">
          <cell r="C17">
            <v>288</v>
          </cell>
          <cell r="D17">
            <v>720</v>
          </cell>
          <cell r="E17">
            <v>48</v>
          </cell>
          <cell r="F17">
            <v>48</v>
          </cell>
          <cell r="G17">
            <v>24</v>
          </cell>
          <cell r="H17">
            <v>24</v>
          </cell>
          <cell r="I17">
            <v>360</v>
          </cell>
          <cell r="J17">
            <v>780</v>
          </cell>
          <cell r="K17">
            <v>180</v>
          </cell>
          <cell r="L17">
            <v>480</v>
          </cell>
          <cell r="M17">
            <v>600</v>
          </cell>
          <cell r="N17">
            <v>60</v>
          </cell>
          <cell r="O17">
            <v>1260</v>
          </cell>
          <cell r="P17">
            <v>780</v>
          </cell>
          <cell r="Q17">
            <v>60</v>
          </cell>
          <cell r="R17">
            <v>60</v>
          </cell>
          <cell r="S17">
            <v>24</v>
          </cell>
          <cell r="T17">
            <v>0</v>
          </cell>
          <cell r="U17">
            <v>24</v>
          </cell>
          <cell r="V17">
            <v>72</v>
          </cell>
          <cell r="W17">
            <v>96</v>
          </cell>
          <cell r="X17">
            <v>48</v>
          </cell>
          <cell r="Y17">
            <v>36</v>
          </cell>
          <cell r="Z17">
            <v>24</v>
          </cell>
          <cell r="AA17">
            <v>108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KLON"/>
      <sheetName val="rekap"/>
      <sheetName val="VOLUME"/>
      <sheetName val="Sheet2"/>
      <sheetName val="Formulir"/>
      <sheetName val="RESUME"/>
      <sheetName val="PRICE APR-JUN'10"/>
      <sheetName val="CJ"/>
      <sheetName val="MAVEN"/>
      <sheetName val="L300"/>
      <sheetName val="TD"/>
      <sheetName val="FUSO"/>
      <sheetName val="REKAP SALES (BP)"/>
      <sheetName val="SALES DETAIL (prc-bp;vol-sass)"/>
      <sheetName val="QTY &amp; PRICE "/>
      <sheetName val="SALES 2010 (SASS-OCT'10)"/>
      <sheetName val="SALES DETAIL (prc new,vol-bp"/>
      <sheetName val="SALES DETAIL (prc new,vol.sass)"/>
      <sheetName val="COMP.PRICE BY MODEL"/>
      <sheetName val="Data_Analysis"/>
      <sheetName val="CJS"/>
      <sheetName val="PRICE_APR-JUN'10"/>
      <sheetName val="REKAP_SALES_(BP)"/>
      <sheetName val="SALES_DETAIL_(prc-bp;vol-sass)"/>
      <sheetName val="QTY_&amp;_PRICE_"/>
      <sheetName val="SALES_2010_(SASS-OCT'10)"/>
      <sheetName val="SALES_DETAIL_(prc_new,vol-bp"/>
      <sheetName val="SALES_DETAIL_(prc_new,vol_sass)"/>
      <sheetName val="COMP_PRICE_BY_MODEL"/>
    </sheetNames>
    <sheetDataSet>
      <sheetData sheetId="0" refreshError="1"/>
      <sheetData sheetId="1" refreshError="1"/>
      <sheetData sheetId="2">
        <row r="6">
          <cell r="C6">
            <v>336</v>
          </cell>
          <cell r="D6">
            <v>672</v>
          </cell>
          <cell r="E6">
            <v>48</v>
          </cell>
          <cell r="F6">
            <v>0</v>
          </cell>
          <cell r="G6">
            <v>0</v>
          </cell>
          <cell r="H6">
            <v>0</v>
          </cell>
          <cell r="I6">
            <v>360</v>
          </cell>
          <cell r="J6">
            <v>900</v>
          </cell>
          <cell r="K6">
            <v>180</v>
          </cell>
          <cell r="L6">
            <v>480</v>
          </cell>
          <cell r="M6">
            <v>480</v>
          </cell>
          <cell r="N6">
            <v>60</v>
          </cell>
          <cell r="O6">
            <v>1140</v>
          </cell>
          <cell r="P6">
            <v>600</v>
          </cell>
          <cell r="Q6">
            <v>60</v>
          </cell>
          <cell r="R6">
            <v>0</v>
          </cell>
          <cell r="S6">
            <v>24</v>
          </cell>
          <cell r="T6">
            <v>0</v>
          </cell>
          <cell r="U6">
            <v>0</v>
          </cell>
          <cell r="V6">
            <v>72</v>
          </cell>
          <cell r="W6">
            <v>96</v>
          </cell>
          <cell r="X6">
            <v>48</v>
          </cell>
          <cell r="Y6">
            <v>24</v>
          </cell>
          <cell r="Z6">
            <v>36</v>
          </cell>
          <cell r="AA6">
            <v>108</v>
          </cell>
        </row>
        <row r="7">
          <cell r="C7">
            <v>240</v>
          </cell>
          <cell r="D7">
            <v>624</v>
          </cell>
          <cell r="E7">
            <v>48</v>
          </cell>
          <cell r="F7">
            <v>0</v>
          </cell>
          <cell r="G7">
            <v>0</v>
          </cell>
          <cell r="H7">
            <v>24</v>
          </cell>
          <cell r="I7">
            <v>360</v>
          </cell>
          <cell r="J7">
            <v>780</v>
          </cell>
          <cell r="K7">
            <v>180</v>
          </cell>
          <cell r="L7">
            <v>480</v>
          </cell>
          <cell r="M7">
            <v>540</v>
          </cell>
          <cell r="N7">
            <v>120</v>
          </cell>
          <cell r="O7">
            <v>1140</v>
          </cell>
          <cell r="P7">
            <v>660</v>
          </cell>
          <cell r="Q7">
            <v>60</v>
          </cell>
          <cell r="R7">
            <v>60</v>
          </cell>
          <cell r="S7">
            <v>48</v>
          </cell>
          <cell r="T7">
            <v>0</v>
          </cell>
          <cell r="U7">
            <v>24</v>
          </cell>
          <cell r="V7">
            <v>48</v>
          </cell>
          <cell r="W7">
            <v>96</v>
          </cell>
          <cell r="X7">
            <v>48</v>
          </cell>
          <cell r="Y7">
            <v>24</v>
          </cell>
          <cell r="Z7">
            <v>36</v>
          </cell>
          <cell r="AA7">
            <v>120</v>
          </cell>
        </row>
        <row r="8">
          <cell r="C8">
            <v>288</v>
          </cell>
          <cell r="D8">
            <v>672</v>
          </cell>
          <cell r="E8">
            <v>48</v>
          </cell>
          <cell r="F8">
            <v>48</v>
          </cell>
          <cell r="G8">
            <v>24</v>
          </cell>
          <cell r="H8">
            <v>24</v>
          </cell>
          <cell r="I8">
            <v>420</v>
          </cell>
          <cell r="J8">
            <v>780</v>
          </cell>
          <cell r="K8">
            <v>180</v>
          </cell>
          <cell r="L8">
            <v>540</v>
          </cell>
          <cell r="M8">
            <v>660</v>
          </cell>
          <cell r="N8">
            <v>60</v>
          </cell>
          <cell r="O8">
            <v>1200</v>
          </cell>
          <cell r="P8">
            <v>720</v>
          </cell>
          <cell r="Q8">
            <v>60</v>
          </cell>
          <cell r="R8">
            <v>60</v>
          </cell>
          <cell r="S8">
            <v>24</v>
          </cell>
          <cell r="T8">
            <v>0</v>
          </cell>
          <cell r="U8">
            <v>0</v>
          </cell>
          <cell r="V8">
            <v>72</v>
          </cell>
          <cell r="W8">
            <v>96</v>
          </cell>
          <cell r="X8">
            <v>24</v>
          </cell>
          <cell r="Y8">
            <v>24</v>
          </cell>
          <cell r="Z8">
            <v>36</v>
          </cell>
          <cell r="AA8">
            <v>108</v>
          </cell>
        </row>
        <row r="9">
          <cell r="C9">
            <v>288</v>
          </cell>
          <cell r="D9">
            <v>720</v>
          </cell>
          <cell r="E9">
            <v>48</v>
          </cell>
          <cell r="F9">
            <v>48</v>
          </cell>
          <cell r="G9">
            <v>48</v>
          </cell>
          <cell r="H9">
            <v>24</v>
          </cell>
          <cell r="I9">
            <v>360</v>
          </cell>
          <cell r="J9">
            <v>840</v>
          </cell>
          <cell r="K9">
            <v>240</v>
          </cell>
          <cell r="L9">
            <v>480</v>
          </cell>
          <cell r="M9">
            <v>660</v>
          </cell>
          <cell r="N9">
            <v>120</v>
          </cell>
          <cell r="O9">
            <v>1200</v>
          </cell>
          <cell r="P9">
            <v>780</v>
          </cell>
          <cell r="Q9">
            <v>60</v>
          </cell>
          <cell r="R9">
            <v>60</v>
          </cell>
          <cell r="S9">
            <v>24</v>
          </cell>
          <cell r="T9">
            <v>0</v>
          </cell>
          <cell r="U9">
            <v>24</v>
          </cell>
          <cell r="V9">
            <v>96</v>
          </cell>
          <cell r="W9">
            <v>120</v>
          </cell>
          <cell r="X9">
            <v>48</v>
          </cell>
          <cell r="Y9">
            <v>24</v>
          </cell>
          <cell r="Z9">
            <v>48</v>
          </cell>
          <cell r="AA9">
            <v>120</v>
          </cell>
        </row>
        <row r="10">
          <cell r="C10">
            <v>288</v>
          </cell>
          <cell r="D10">
            <v>672</v>
          </cell>
          <cell r="E10">
            <v>48</v>
          </cell>
          <cell r="F10">
            <v>48</v>
          </cell>
          <cell r="G10">
            <v>24</v>
          </cell>
          <cell r="H10">
            <v>24</v>
          </cell>
          <cell r="I10">
            <v>360</v>
          </cell>
          <cell r="J10">
            <v>840</v>
          </cell>
          <cell r="K10">
            <v>180</v>
          </cell>
          <cell r="L10">
            <v>540</v>
          </cell>
          <cell r="M10">
            <v>540</v>
          </cell>
          <cell r="N10">
            <v>60</v>
          </cell>
          <cell r="O10">
            <v>1140</v>
          </cell>
          <cell r="P10">
            <v>720</v>
          </cell>
          <cell r="Q10">
            <v>60</v>
          </cell>
          <cell r="R10">
            <v>60</v>
          </cell>
          <cell r="S10">
            <v>24</v>
          </cell>
          <cell r="T10">
            <v>0</v>
          </cell>
          <cell r="U10">
            <v>0</v>
          </cell>
          <cell r="V10">
            <v>72</v>
          </cell>
          <cell r="W10">
            <v>96</v>
          </cell>
          <cell r="X10">
            <v>48</v>
          </cell>
          <cell r="Y10">
            <v>36</v>
          </cell>
          <cell r="Z10">
            <v>60</v>
          </cell>
          <cell r="AA10">
            <v>120</v>
          </cell>
        </row>
        <row r="11">
          <cell r="C11">
            <v>288</v>
          </cell>
          <cell r="D11">
            <v>624</v>
          </cell>
          <cell r="E11">
            <v>48</v>
          </cell>
          <cell r="F11">
            <v>0</v>
          </cell>
          <cell r="G11">
            <v>0</v>
          </cell>
          <cell r="H11">
            <v>24</v>
          </cell>
          <cell r="I11">
            <v>420</v>
          </cell>
          <cell r="J11">
            <v>720</v>
          </cell>
          <cell r="K11">
            <v>240</v>
          </cell>
          <cell r="L11">
            <v>660</v>
          </cell>
          <cell r="M11">
            <v>720</v>
          </cell>
          <cell r="N11">
            <v>120</v>
          </cell>
          <cell r="O11">
            <v>1260</v>
          </cell>
          <cell r="P11">
            <v>840</v>
          </cell>
          <cell r="Q11">
            <v>60</v>
          </cell>
          <cell r="R11">
            <v>60</v>
          </cell>
          <cell r="S11">
            <v>48</v>
          </cell>
          <cell r="T11">
            <v>0</v>
          </cell>
          <cell r="U11">
            <v>24</v>
          </cell>
          <cell r="V11">
            <v>48</v>
          </cell>
          <cell r="W11">
            <v>120</v>
          </cell>
          <cell r="X11">
            <v>48</v>
          </cell>
          <cell r="Y11">
            <v>24</v>
          </cell>
          <cell r="Z11">
            <v>48</v>
          </cell>
          <cell r="AA11">
            <v>120</v>
          </cell>
        </row>
        <row r="12">
          <cell r="C12">
            <v>288</v>
          </cell>
          <cell r="D12">
            <v>720</v>
          </cell>
          <cell r="E12">
            <v>96</v>
          </cell>
          <cell r="F12">
            <v>0</v>
          </cell>
          <cell r="G12">
            <v>24</v>
          </cell>
          <cell r="H12">
            <v>48</v>
          </cell>
          <cell r="I12">
            <v>360</v>
          </cell>
          <cell r="J12">
            <v>840</v>
          </cell>
          <cell r="K12">
            <v>180</v>
          </cell>
          <cell r="L12">
            <v>600</v>
          </cell>
          <cell r="M12">
            <v>540</v>
          </cell>
          <cell r="N12">
            <v>120</v>
          </cell>
          <cell r="O12">
            <v>1080</v>
          </cell>
          <cell r="P12">
            <v>720</v>
          </cell>
          <cell r="Q12">
            <v>60</v>
          </cell>
          <cell r="R12">
            <v>60</v>
          </cell>
          <cell r="S12">
            <v>24</v>
          </cell>
          <cell r="T12">
            <v>0</v>
          </cell>
          <cell r="U12">
            <v>0</v>
          </cell>
          <cell r="V12">
            <v>72</v>
          </cell>
          <cell r="W12">
            <v>120</v>
          </cell>
          <cell r="X12">
            <v>24</v>
          </cell>
          <cell r="Y12">
            <v>36</v>
          </cell>
          <cell r="Z12">
            <v>24</v>
          </cell>
          <cell r="AA12">
            <v>120</v>
          </cell>
        </row>
        <row r="13">
          <cell r="C13">
            <v>288</v>
          </cell>
          <cell r="D13">
            <v>720</v>
          </cell>
          <cell r="E13">
            <v>48</v>
          </cell>
          <cell r="F13">
            <v>48</v>
          </cell>
          <cell r="G13">
            <v>48</v>
          </cell>
          <cell r="H13">
            <v>24</v>
          </cell>
          <cell r="I13">
            <v>420</v>
          </cell>
          <cell r="J13">
            <v>900</v>
          </cell>
          <cell r="K13">
            <v>180</v>
          </cell>
          <cell r="L13">
            <v>660</v>
          </cell>
          <cell r="M13">
            <v>720</v>
          </cell>
          <cell r="N13">
            <v>120</v>
          </cell>
          <cell r="O13">
            <v>1200</v>
          </cell>
          <cell r="P13">
            <v>840</v>
          </cell>
          <cell r="Q13">
            <v>60</v>
          </cell>
          <cell r="R13">
            <v>60</v>
          </cell>
          <cell r="S13">
            <v>24</v>
          </cell>
          <cell r="T13">
            <v>0</v>
          </cell>
          <cell r="U13">
            <v>24</v>
          </cell>
          <cell r="V13">
            <v>72</v>
          </cell>
          <cell r="W13">
            <v>96</v>
          </cell>
          <cell r="X13">
            <v>48</v>
          </cell>
          <cell r="Y13">
            <v>24</v>
          </cell>
          <cell r="Z13">
            <v>48</v>
          </cell>
          <cell r="AA13">
            <v>120</v>
          </cell>
        </row>
        <row r="14">
          <cell r="C14">
            <v>192</v>
          </cell>
          <cell r="D14">
            <v>576</v>
          </cell>
          <cell r="E14">
            <v>48</v>
          </cell>
          <cell r="F14">
            <v>0</v>
          </cell>
          <cell r="G14">
            <v>0</v>
          </cell>
          <cell r="H14">
            <v>24</v>
          </cell>
          <cell r="I14">
            <v>240</v>
          </cell>
          <cell r="J14">
            <v>600</v>
          </cell>
          <cell r="K14">
            <v>120</v>
          </cell>
          <cell r="L14">
            <v>480</v>
          </cell>
          <cell r="M14">
            <v>480</v>
          </cell>
          <cell r="N14">
            <v>60</v>
          </cell>
          <cell r="O14">
            <v>1020</v>
          </cell>
          <cell r="P14">
            <v>600</v>
          </cell>
          <cell r="Q14">
            <v>60</v>
          </cell>
          <cell r="R14">
            <v>0</v>
          </cell>
          <cell r="S14">
            <v>24</v>
          </cell>
          <cell r="T14">
            <v>0</v>
          </cell>
          <cell r="U14">
            <v>0</v>
          </cell>
          <cell r="V14">
            <v>48</v>
          </cell>
          <cell r="W14">
            <v>96</v>
          </cell>
          <cell r="X14">
            <v>48</v>
          </cell>
          <cell r="Y14">
            <v>24</v>
          </cell>
          <cell r="Z14">
            <v>24</v>
          </cell>
          <cell r="AA14">
            <v>96</v>
          </cell>
        </row>
        <row r="15">
          <cell r="C15">
            <v>144</v>
          </cell>
          <cell r="D15">
            <v>624</v>
          </cell>
          <cell r="E15">
            <v>48</v>
          </cell>
          <cell r="F15">
            <v>0</v>
          </cell>
          <cell r="G15">
            <v>0</v>
          </cell>
          <cell r="H15">
            <v>24</v>
          </cell>
          <cell r="I15">
            <v>240</v>
          </cell>
          <cell r="J15">
            <v>660</v>
          </cell>
          <cell r="K15">
            <v>180</v>
          </cell>
          <cell r="L15">
            <v>540</v>
          </cell>
          <cell r="M15">
            <v>480</v>
          </cell>
          <cell r="N15">
            <v>60</v>
          </cell>
          <cell r="O15">
            <v>1020</v>
          </cell>
          <cell r="P15">
            <v>600</v>
          </cell>
          <cell r="Q15">
            <v>0</v>
          </cell>
          <cell r="R15">
            <v>60</v>
          </cell>
          <cell r="S15">
            <v>24</v>
          </cell>
          <cell r="T15">
            <v>0</v>
          </cell>
          <cell r="U15">
            <v>24</v>
          </cell>
          <cell r="V15">
            <v>48</v>
          </cell>
          <cell r="W15">
            <v>96</v>
          </cell>
          <cell r="X15">
            <v>24</v>
          </cell>
          <cell r="Y15">
            <v>12</v>
          </cell>
          <cell r="Z15">
            <v>36</v>
          </cell>
          <cell r="AA15">
            <v>84</v>
          </cell>
        </row>
        <row r="16">
          <cell r="C16">
            <v>288</v>
          </cell>
          <cell r="D16">
            <v>672</v>
          </cell>
          <cell r="E16">
            <v>48</v>
          </cell>
          <cell r="F16">
            <v>0</v>
          </cell>
          <cell r="G16">
            <v>24</v>
          </cell>
          <cell r="H16">
            <v>24</v>
          </cell>
          <cell r="I16">
            <v>360</v>
          </cell>
          <cell r="J16">
            <v>780</v>
          </cell>
          <cell r="K16">
            <v>120</v>
          </cell>
          <cell r="L16">
            <v>600</v>
          </cell>
          <cell r="M16">
            <v>600</v>
          </cell>
          <cell r="N16">
            <v>120</v>
          </cell>
          <cell r="O16">
            <v>1260</v>
          </cell>
          <cell r="P16">
            <v>780</v>
          </cell>
          <cell r="Q16">
            <v>60</v>
          </cell>
          <cell r="R16">
            <v>0</v>
          </cell>
          <cell r="S16">
            <v>24</v>
          </cell>
          <cell r="T16">
            <v>0</v>
          </cell>
          <cell r="U16">
            <v>0</v>
          </cell>
          <cell r="V16">
            <v>72</v>
          </cell>
          <cell r="W16">
            <v>96</v>
          </cell>
          <cell r="X16">
            <v>24</v>
          </cell>
          <cell r="Y16">
            <v>24</v>
          </cell>
          <cell r="Z16">
            <v>36</v>
          </cell>
          <cell r="AA16">
            <v>96</v>
          </cell>
        </row>
        <row r="17">
          <cell r="C17">
            <v>288</v>
          </cell>
          <cell r="D17">
            <v>720</v>
          </cell>
          <cell r="E17">
            <v>48</v>
          </cell>
          <cell r="F17">
            <v>48</v>
          </cell>
          <cell r="G17">
            <v>24</v>
          </cell>
          <cell r="H17">
            <v>24</v>
          </cell>
          <cell r="I17">
            <v>360</v>
          </cell>
          <cell r="J17">
            <v>780</v>
          </cell>
          <cell r="K17">
            <v>180</v>
          </cell>
          <cell r="L17">
            <v>480</v>
          </cell>
          <cell r="M17">
            <v>600</v>
          </cell>
          <cell r="N17">
            <v>60</v>
          </cell>
          <cell r="O17">
            <v>1260</v>
          </cell>
          <cell r="P17">
            <v>780</v>
          </cell>
          <cell r="Q17">
            <v>60</v>
          </cell>
          <cell r="R17">
            <v>60</v>
          </cell>
          <cell r="S17">
            <v>24</v>
          </cell>
          <cell r="T17">
            <v>0</v>
          </cell>
          <cell r="U17">
            <v>24</v>
          </cell>
          <cell r="V17">
            <v>72</v>
          </cell>
          <cell r="W17">
            <v>96</v>
          </cell>
          <cell r="X17">
            <v>48</v>
          </cell>
          <cell r="Y17">
            <v>36</v>
          </cell>
          <cell r="Z17">
            <v>24</v>
          </cell>
          <cell r="AA17">
            <v>108</v>
          </cell>
        </row>
      </sheetData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KLON"/>
      <sheetName val="rekap"/>
      <sheetName val="VOLUME"/>
      <sheetName val="Sheet2"/>
      <sheetName val="Formulir"/>
      <sheetName val="RESUME"/>
      <sheetName val="PRICE APR-JUN'10"/>
      <sheetName val="CJ"/>
      <sheetName val="MAVEN"/>
      <sheetName val="L300"/>
      <sheetName val="TD"/>
      <sheetName val="FUSO"/>
      <sheetName val="REKAP SALES (BP)"/>
      <sheetName val="SALES DETAIL (prc-bp;vol-sass)"/>
      <sheetName val="SALES DETAIL (prc-bp;vol-sa (2)"/>
      <sheetName val="QTY &amp; PRICE "/>
      <sheetName val="SALES 2010 (SASS-OCT'10)"/>
      <sheetName val="SALES DETAIL (prc new,vol-bp"/>
      <sheetName val="SALES DETAIL (prc new,vol.sass)"/>
      <sheetName val="COMP.PRICE BY MODEL"/>
      <sheetName val="PRICE_APR-JUN'10"/>
      <sheetName val="REKAP_SALES_(BP)"/>
      <sheetName val="SALES_DETAIL_(prc-bp;vol-sass)"/>
      <sheetName val="SALES_DETAIL_(prc-bp;vol-sa_(2)"/>
      <sheetName val="QTY_&amp;_PRICE_"/>
      <sheetName val="SALES_2010_(SASS-OCT'10)"/>
      <sheetName val="SALES_DETAIL_(prc_new,vol-bp"/>
      <sheetName val="SALES_DETAIL_(prc_new,vol_sass)"/>
      <sheetName val="COMP_PRICE_BY_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9">
          <cell r="AS69">
            <v>4483813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"/>
      <sheetName val="ผ่อง"/>
      <sheetName val="BA"/>
      <sheetName val="BB"/>
      <sheetName val="BC"/>
      <sheetName val="BD"/>
      <sheetName val="BE"/>
      <sheetName val="AA"/>
      <sheetName val="AB"/>
      <sheetName val="AC"/>
      <sheetName val="AD"/>
      <sheetName val="P2"/>
      <sheetName val="P3"/>
      <sheetName val="P8"/>
      <sheetName val="NP9"/>
      <sheetName val="NP10"/>
      <sheetName val="NP11"/>
      <sheetName val="P6"/>
      <sheetName val="P7"/>
      <sheetName val="PT300"/>
      <sheetName val="BL-T@"/>
      <sheetName val="TA1"/>
      <sheetName val="TA2"/>
      <sheetName val="TB1"/>
      <sheetName val="TB2"/>
      <sheetName val="TC1"/>
      <sheetName val="TC2"/>
      <sheetName val="TD1"/>
      <sheetName val="TD2"/>
      <sheetName val="TPS"/>
      <sheetName val="LV"/>
      <sheetName val="G1"/>
      <sheetName val="G2"/>
      <sheetName val="ถังขยะ"/>
      <sheetName val="impo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SS"/>
      <sheetName val="QtyOrder"/>
      <sheetName val="Sort Excl.VAT"/>
      <sheetName val="2004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P6"/>
      <sheetName val="P_DEL"/>
      <sheetName val="aida 80 p2 REV"/>
      <sheetName val="stock"/>
      <sheetName val="SCH 1 SHIFT"/>
      <sheetName val="monitor"/>
      <sheetName val="print rev"/>
      <sheetName val="weekly"/>
      <sheetName val="problem list"/>
      <sheetName val="Sheet1"/>
      <sheetName val="TIRE読み替え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gudang"/>
      <sheetName val="P_DEL"/>
      <sheetName val="_LOD"/>
      <sheetName val="D1 NEW"/>
      <sheetName val="print rev"/>
      <sheetName val="D1 NEW (2)"/>
      <sheetName val="HIS"/>
    </sheetNames>
    <sheetDataSet>
      <sheetData sheetId="0"/>
      <sheetData sheetId="1"/>
      <sheetData sheetId="2">
        <row r="6">
          <cell r="A6">
            <v>1</v>
          </cell>
          <cell r="B6" t="str">
            <v>5LW-85559-10-00-80</v>
          </cell>
          <cell r="C6" t="str">
            <v>ROTOR</v>
          </cell>
          <cell r="D6" t="str">
            <v>Draw</v>
          </cell>
          <cell r="E6">
            <v>600</v>
          </cell>
          <cell r="F6">
            <v>380</v>
          </cell>
          <cell r="G6">
            <v>430</v>
          </cell>
          <cell r="I6" t="str">
            <v>Pierching</v>
          </cell>
          <cell r="J6">
            <v>530</v>
          </cell>
          <cell r="K6">
            <v>310</v>
          </cell>
          <cell r="L6">
            <v>310</v>
          </cell>
          <cell r="N6" t="str">
            <v>Champer – Burning</v>
          </cell>
          <cell r="O6">
            <v>530</v>
          </cell>
          <cell r="P6">
            <v>300</v>
          </cell>
          <cell r="Q6">
            <v>310</v>
          </cell>
          <cell r="S6" t="str">
            <v>Half Pierching</v>
          </cell>
          <cell r="T6">
            <v>550</v>
          </cell>
          <cell r="U6">
            <v>300</v>
          </cell>
          <cell r="V6">
            <v>330</v>
          </cell>
          <cell r="X6" t="str">
            <v>YEID</v>
          </cell>
          <cell r="Y6">
            <v>1</v>
          </cell>
          <cell r="Z6">
            <v>49450</v>
          </cell>
          <cell r="AA6">
            <v>2247.7272727272725</v>
          </cell>
          <cell r="AB6">
            <v>3000</v>
          </cell>
          <cell r="AG6">
            <v>2247.7272727272725</v>
          </cell>
          <cell r="AH6">
            <v>2247.7272727272725</v>
          </cell>
          <cell r="AI6">
            <v>2247.7272727272725</v>
          </cell>
          <cell r="AJ6">
            <v>2247.7272727272725</v>
          </cell>
          <cell r="AK6">
            <v>2247.7272727272725</v>
          </cell>
          <cell r="AL6">
            <v>4.4000000000000004</v>
          </cell>
          <cell r="AM6">
            <v>6.8</v>
          </cell>
          <cell r="AN6">
            <v>5.4</v>
          </cell>
          <cell r="AO6">
            <v>5.4</v>
          </cell>
          <cell r="AP6">
            <v>9890</v>
          </cell>
          <cell r="AQ6">
            <v>15284.545454545452</v>
          </cell>
          <cell r="AR6">
            <v>12137.727272727272</v>
          </cell>
          <cell r="AS6">
            <v>12137.727272727272</v>
          </cell>
          <cell r="AT6">
            <v>0.19740518962075845</v>
          </cell>
          <cell r="AU6">
            <v>0.30508074759571757</v>
          </cell>
          <cell r="AV6">
            <v>0.24227000544365809</v>
          </cell>
          <cell r="AW6">
            <v>0.24227000544365809</v>
          </cell>
          <cell r="BB6">
            <v>25</v>
          </cell>
          <cell r="BC6">
            <v>40</v>
          </cell>
          <cell r="BD6">
            <v>22.289180990899904</v>
          </cell>
          <cell r="BE6">
            <v>0</v>
          </cell>
          <cell r="BF6">
            <v>0</v>
          </cell>
          <cell r="BG6">
            <v>4000</v>
          </cell>
        </row>
        <row r="7">
          <cell r="A7">
            <v>2</v>
          </cell>
          <cell r="B7" t="str">
            <v>E-063-416-DO</v>
          </cell>
          <cell r="C7" t="str">
            <v>HINGE,RR SEAT  INN RH</v>
          </cell>
          <cell r="D7" t="str">
            <v>Bending</v>
          </cell>
          <cell r="E7">
            <v>560</v>
          </cell>
          <cell r="F7">
            <v>340</v>
          </cell>
          <cell r="G7">
            <v>230</v>
          </cell>
          <cell r="I7" t="str">
            <v>Forming</v>
          </cell>
          <cell r="J7">
            <v>640</v>
          </cell>
          <cell r="K7">
            <v>340</v>
          </cell>
          <cell r="L7">
            <v>340</v>
          </cell>
          <cell r="N7" t="str">
            <v>Blank</v>
          </cell>
          <cell r="O7">
            <v>500</v>
          </cell>
          <cell r="P7">
            <v>300</v>
          </cell>
          <cell r="Q7">
            <v>270</v>
          </cell>
          <cell r="S7" t="str">
            <v>Pierching</v>
          </cell>
          <cell r="T7">
            <v>400</v>
          </cell>
          <cell r="U7">
            <v>200</v>
          </cell>
          <cell r="V7">
            <v>200</v>
          </cell>
          <cell r="X7" t="str">
            <v>MEIWA</v>
          </cell>
          <cell r="Y7">
            <v>2</v>
          </cell>
          <cell r="Z7">
            <v>5039.9999999999991</v>
          </cell>
          <cell r="AA7">
            <v>229.09090909090904</v>
          </cell>
          <cell r="AB7">
            <v>1440</v>
          </cell>
          <cell r="AC7">
            <v>12</v>
          </cell>
          <cell r="AD7">
            <v>120</v>
          </cell>
          <cell r="AG7">
            <v>229.09090909090904</v>
          </cell>
          <cell r="AH7">
            <v>229.09090909090904</v>
          </cell>
          <cell r="AI7">
            <v>229.09090909090904</v>
          </cell>
          <cell r="AJ7">
            <v>229.09090909090904</v>
          </cell>
          <cell r="AK7">
            <v>229.09090909090904</v>
          </cell>
          <cell r="AL7">
            <v>8</v>
          </cell>
          <cell r="AM7">
            <v>8</v>
          </cell>
          <cell r="AN7">
            <v>4</v>
          </cell>
          <cell r="AO7">
            <v>8</v>
          </cell>
          <cell r="AP7">
            <v>1832.7272727272723</v>
          </cell>
          <cell r="AQ7">
            <v>1832.7272727272723</v>
          </cell>
          <cell r="AR7">
            <v>916.36363636363615</v>
          </cell>
          <cell r="AS7">
            <v>1832.7272727272723</v>
          </cell>
          <cell r="AT7">
            <v>3.6581382689167108E-2</v>
          </cell>
          <cell r="AU7">
            <v>3.6581382689167108E-2</v>
          </cell>
          <cell r="AV7">
            <v>1.8290691344583554E-2</v>
          </cell>
          <cell r="AW7">
            <v>3.6581382689167108E-2</v>
          </cell>
          <cell r="BB7">
            <v>40</v>
          </cell>
          <cell r="BD7">
            <v>218.69047619047626</v>
          </cell>
          <cell r="BE7">
            <v>0</v>
          </cell>
          <cell r="BF7">
            <v>0</v>
          </cell>
          <cell r="BG7">
            <v>1440</v>
          </cell>
        </row>
        <row r="8">
          <cell r="A8">
            <v>3</v>
          </cell>
          <cell r="B8" t="str">
            <v>E-063-417-DO</v>
          </cell>
          <cell r="C8" t="str">
            <v>HINGE,RR SEAT  INN LH</v>
          </cell>
          <cell r="X8" t="str">
            <v>MEIWA</v>
          </cell>
          <cell r="Z8">
            <v>5039.9999999999991</v>
          </cell>
          <cell r="AA8">
            <v>229.09090909090904</v>
          </cell>
          <cell r="AB8">
            <v>1440</v>
          </cell>
          <cell r="AC8">
            <v>12</v>
          </cell>
          <cell r="AD8">
            <v>120</v>
          </cell>
          <cell r="AG8">
            <v>229.09090909090904</v>
          </cell>
          <cell r="AJ8">
            <v>229.09090909090904</v>
          </cell>
          <cell r="AN8">
            <v>3</v>
          </cell>
          <cell r="AR8">
            <v>687.27272727272714</v>
          </cell>
          <cell r="AV8">
            <v>1.3718018508437665E-2</v>
          </cell>
          <cell r="BB8">
            <v>40</v>
          </cell>
          <cell r="BD8">
            <v>218.69047619047626</v>
          </cell>
          <cell r="BE8">
            <v>0</v>
          </cell>
          <cell r="BF8">
            <v>0</v>
          </cell>
          <cell r="BG8">
            <v>1440</v>
          </cell>
        </row>
        <row r="9">
          <cell r="A9">
            <v>4</v>
          </cell>
          <cell r="B9" t="str">
            <v>67183-BZ010-00</v>
          </cell>
          <cell r="C9" t="str">
            <v>PATCH DOOR RH</v>
          </cell>
          <cell r="D9" t="str">
            <v>Flange</v>
          </cell>
          <cell r="E9">
            <v>420</v>
          </cell>
          <cell r="F9">
            <v>340</v>
          </cell>
          <cell r="G9">
            <v>280</v>
          </cell>
          <cell r="I9" t="str">
            <v>Forming</v>
          </cell>
          <cell r="J9">
            <v>700</v>
          </cell>
          <cell r="K9">
            <v>300</v>
          </cell>
          <cell r="L9">
            <v>445</v>
          </cell>
          <cell r="N9" t="str">
            <v>Blank (1/1)</v>
          </cell>
          <cell r="S9" t="str">
            <v>Pierching 1</v>
          </cell>
          <cell r="T9">
            <v>450</v>
          </cell>
          <cell r="U9">
            <v>250</v>
          </cell>
          <cell r="V9">
            <v>260</v>
          </cell>
          <cell r="X9" t="str">
            <v>ADM</v>
          </cell>
          <cell r="Y9">
            <v>2</v>
          </cell>
          <cell r="Z9">
            <v>300</v>
          </cell>
          <cell r="AA9">
            <v>13.636363636363637</v>
          </cell>
          <cell r="AB9">
            <v>1120</v>
          </cell>
          <cell r="AC9">
            <v>7</v>
          </cell>
          <cell r="AD9">
            <v>160</v>
          </cell>
          <cell r="AG9">
            <v>13.636363636363637</v>
          </cell>
          <cell r="AH9">
            <v>13.636363636363637</v>
          </cell>
          <cell r="AI9">
            <v>13.636363636363637</v>
          </cell>
          <cell r="AJ9">
            <v>13.636363636363637</v>
          </cell>
          <cell r="AK9">
            <v>13.636363636363637</v>
          </cell>
          <cell r="AL9">
            <v>8</v>
          </cell>
          <cell r="AM9">
            <v>8</v>
          </cell>
          <cell r="AN9">
            <v>4</v>
          </cell>
          <cell r="AO9">
            <v>8</v>
          </cell>
          <cell r="AP9">
            <v>109.09090909090909</v>
          </cell>
          <cell r="AQ9">
            <v>109.09090909090909</v>
          </cell>
          <cell r="AR9">
            <v>54.545454545454547</v>
          </cell>
          <cell r="AS9">
            <v>109.09090909090909</v>
          </cell>
          <cell r="AT9">
            <v>2.1774632553075665E-3</v>
          </cell>
          <cell r="AU9">
            <v>2.1774632553075665E-3</v>
          </cell>
          <cell r="AV9">
            <v>1.0887316276537832E-3</v>
          </cell>
          <cell r="AW9">
            <v>2.1774632553075665E-3</v>
          </cell>
          <cell r="BB9">
            <v>100</v>
          </cell>
          <cell r="BD9">
            <v>3674.0000000000005</v>
          </cell>
          <cell r="BE9">
            <v>0</v>
          </cell>
          <cell r="BF9">
            <v>0</v>
          </cell>
          <cell r="BG9">
            <v>1120</v>
          </cell>
        </row>
        <row r="10">
          <cell r="A10">
            <v>5</v>
          </cell>
          <cell r="B10" t="str">
            <v>67184-BZ010-00</v>
          </cell>
          <cell r="C10" t="str">
            <v>PATCH DOOR LH</v>
          </cell>
          <cell r="X10" t="str">
            <v>ADM</v>
          </cell>
          <cell r="Z10">
            <v>200</v>
          </cell>
          <cell r="AA10">
            <v>9.0909090909090917</v>
          </cell>
          <cell r="AB10">
            <v>1120</v>
          </cell>
          <cell r="AC10">
            <v>7</v>
          </cell>
          <cell r="AD10">
            <v>160</v>
          </cell>
          <cell r="AG10">
            <v>9.0909090909090917</v>
          </cell>
          <cell r="AJ10">
            <v>9.0909090909090917</v>
          </cell>
          <cell r="AN10">
            <v>5</v>
          </cell>
          <cell r="AR10">
            <v>45.45454545454546</v>
          </cell>
          <cell r="AV10">
            <v>9.0727635637815273E-4</v>
          </cell>
          <cell r="BB10">
            <v>100</v>
          </cell>
          <cell r="BD10">
            <v>5511</v>
          </cell>
          <cell r="BE10">
            <v>0</v>
          </cell>
          <cell r="BF10">
            <v>0</v>
          </cell>
          <cell r="BG10">
            <v>1120</v>
          </cell>
        </row>
        <row r="11">
          <cell r="A11">
            <v>6</v>
          </cell>
          <cell r="B11" t="str">
            <v>B143-87402</v>
          </cell>
          <cell r="C11" t="str">
            <v>BRKT FR OUT SEAT TRCK LWR RR (B121500)</v>
          </cell>
          <cell r="D11" t="str">
            <v>bending (3/4)</v>
          </cell>
          <cell r="I11" t="str">
            <v>bending (2/4)</v>
          </cell>
          <cell r="N11" t="str">
            <v>pierc(4/4)</v>
          </cell>
          <cell r="S11" t="str">
            <v>Blnk (1/4)</v>
          </cell>
          <cell r="X11" t="str">
            <v>FUJI SEAT</v>
          </cell>
          <cell r="Y11">
            <v>1</v>
          </cell>
          <cell r="Z11">
            <v>5349.9999999999982</v>
          </cell>
          <cell r="AA11">
            <v>243.1818181818181</v>
          </cell>
          <cell r="AB11">
            <v>560</v>
          </cell>
          <cell r="AC11">
            <v>14</v>
          </cell>
          <cell r="AD11">
            <v>40</v>
          </cell>
          <cell r="AG11">
            <v>243.1818181818181</v>
          </cell>
          <cell r="AH11">
            <v>243.1818181818181</v>
          </cell>
          <cell r="AI11">
            <v>243.1818181818181</v>
          </cell>
          <cell r="AJ11">
            <v>243.1818181818181</v>
          </cell>
          <cell r="AK11">
            <v>243.1818181818181</v>
          </cell>
          <cell r="AL11">
            <v>3.5</v>
          </cell>
          <cell r="AM11">
            <v>3.9</v>
          </cell>
          <cell r="AN11">
            <v>3.2</v>
          </cell>
          <cell r="AO11">
            <v>5.6</v>
          </cell>
          <cell r="AP11">
            <v>851.1363636363634</v>
          </cell>
          <cell r="AQ11">
            <v>948.40909090909054</v>
          </cell>
          <cell r="AR11">
            <v>778.18181818181802</v>
          </cell>
          <cell r="AS11">
            <v>1361.8181818181813</v>
          </cell>
          <cell r="AT11">
            <v>1.6988749773180902E-2</v>
          </cell>
          <cell r="AU11">
            <v>1.8930321175830149E-2</v>
          </cell>
          <cell r="AV11">
            <v>1.553257122119397E-2</v>
          </cell>
          <cell r="AW11">
            <v>2.7181999637089442E-2</v>
          </cell>
          <cell r="BD11">
            <v>206.01869158878515</v>
          </cell>
        </row>
        <row r="12">
          <cell r="A12">
            <v>7</v>
          </cell>
          <cell r="B12" t="str">
            <v>33228-61J20</v>
          </cell>
          <cell r="C12" t="str">
            <v>COVER COMP SENSOR 1</v>
          </cell>
          <cell r="D12" t="str">
            <v>Blank (1/4)</v>
          </cell>
          <cell r="I12" t="str">
            <v>bending (2/4)</v>
          </cell>
          <cell r="N12" t="str">
            <v>bending (3/4)</v>
          </cell>
          <cell r="S12" t="str">
            <v>pierc (4/4)</v>
          </cell>
          <cell r="T12">
            <v>1</v>
          </cell>
          <cell r="U12">
            <v>3568</v>
          </cell>
          <cell r="V12">
            <v>170</v>
          </cell>
          <cell r="W12">
            <v>1200</v>
          </cell>
          <cell r="X12" t="str">
            <v>ISI</v>
          </cell>
          <cell r="Y12">
            <v>1</v>
          </cell>
          <cell r="Z12">
            <v>5154</v>
          </cell>
          <cell r="AA12">
            <v>234.27272727272728</v>
          </cell>
          <cell r="AB12">
            <v>600</v>
          </cell>
          <cell r="AC12">
            <v>15</v>
          </cell>
          <cell r="AD12">
            <v>40</v>
          </cell>
          <cell r="AG12">
            <v>234.27272727272728</v>
          </cell>
          <cell r="AH12">
            <v>234.27272727272728</v>
          </cell>
          <cell r="AI12">
            <v>234.27272727272728</v>
          </cell>
          <cell r="AJ12">
            <v>234.27272727272728</v>
          </cell>
          <cell r="AK12">
            <v>234.27272727272728</v>
          </cell>
          <cell r="AL12">
            <v>8</v>
          </cell>
          <cell r="AM12">
            <v>8</v>
          </cell>
          <cell r="AN12">
            <v>8</v>
          </cell>
          <cell r="AO12">
            <v>8</v>
          </cell>
          <cell r="AP12">
            <v>1874.1818181818182</v>
          </cell>
          <cell r="AQ12">
            <v>1874.1818181818182</v>
          </cell>
          <cell r="AR12">
            <v>1874.1818181818182</v>
          </cell>
          <cell r="AS12">
            <v>1874.1818181818182</v>
          </cell>
          <cell r="AT12">
            <v>3.7408818726183991E-2</v>
          </cell>
          <cell r="AU12">
            <v>3.7408818726183991E-2</v>
          </cell>
          <cell r="AV12">
            <v>3.7408818726183991E-2</v>
          </cell>
          <cell r="AW12">
            <v>3.7408818726183991E-2</v>
          </cell>
          <cell r="BD12">
            <v>213.85331781140863</v>
          </cell>
        </row>
        <row r="13">
          <cell r="A13">
            <v>8</v>
          </cell>
          <cell r="B13" t="str">
            <v>A121-87604</v>
          </cell>
          <cell r="C13" t="str">
            <v>REINFORCEMENT, FR SEAT CUSHION</v>
          </cell>
          <cell r="D13" t="str">
            <v>bending 1</v>
          </cell>
          <cell r="E13">
            <v>600</v>
          </cell>
          <cell r="F13">
            <v>380</v>
          </cell>
          <cell r="G13">
            <v>430</v>
          </cell>
          <cell r="I13" t="str">
            <v>bending 2</v>
          </cell>
          <cell r="J13">
            <v>530</v>
          </cell>
          <cell r="K13">
            <v>310</v>
          </cell>
          <cell r="L13">
            <v>310</v>
          </cell>
          <cell r="O13">
            <v>530</v>
          </cell>
          <cell r="P13">
            <v>300</v>
          </cell>
          <cell r="Q13">
            <v>310</v>
          </cell>
          <cell r="X13" t="str">
            <v>FUJI SEAT</v>
          </cell>
          <cell r="Y13">
            <v>1</v>
          </cell>
          <cell r="Z13">
            <v>31120.000000000011</v>
          </cell>
          <cell r="AA13">
            <v>1414.545454545455</v>
          </cell>
          <cell r="AB13">
            <v>601</v>
          </cell>
          <cell r="AG13">
            <v>1414.545454545455</v>
          </cell>
          <cell r="AH13">
            <v>1414.545454545455</v>
          </cell>
          <cell r="AI13">
            <v>1414.545454545455</v>
          </cell>
          <cell r="AJ13">
            <v>0</v>
          </cell>
          <cell r="AK13">
            <v>0</v>
          </cell>
          <cell r="AL13">
            <v>8</v>
          </cell>
          <cell r="AM13">
            <v>8</v>
          </cell>
          <cell r="AN13">
            <v>8</v>
          </cell>
          <cell r="AO13">
            <v>8</v>
          </cell>
          <cell r="AP13">
            <v>11316.36363636364</v>
          </cell>
          <cell r="AQ13">
            <v>11316.36363636364</v>
          </cell>
          <cell r="AR13">
            <v>0</v>
          </cell>
          <cell r="AS13">
            <v>0</v>
          </cell>
          <cell r="AT13">
            <v>0.22587552168390496</v>
          </cell>
          <cell r="AU13">
            <v>0.22587552168390496</v>
          </cell>
          <cell r="AV13">
            <v>0</v>
          </cell>
          <cell r="AW13">
            <v>0</v>
          </cell>
        </row>
        <row r="14">
          <cell r="A14">
            <v>9</v>
          </cell>
          <cell r="B14" t="str">
            <v>A253-87602</v>
          </cell>
          <cell r="C14" t="str">
            <v>REINFORCEMENT, RR SEAT BACK RH</v>
          </cell>
          <cell r="D14" t="str">
            <v>Bending</v>
          </cell>
          <cell r="I14" t="str">
            <v>pierching</v>
          </cell>
          <cell r="X14" t="str">
            <v>FUJI SEAT</v>
          </cell>
          <cell r="Y14">
            <v>1</v>
          </cell>
          <cell r="Z14">
            <v>15524.999999999998</v>
          </cell>
          <cell r="AA14">
            <v>705.68181818181813</v>
          </cell>
          <cell r="AG14">
            <v>705.68181818181813</v>
          </cell>
          <cell r="AH14">
            <v>705.68181818181813</v>
          </cell>
          <cell r="AI14">
            <v>705.68181818181813</v>
          </cell>
          <cell r="AL14">
            <v>8</v>
          </cell>
          <cell r="AM14">
            <v>8</v>
          </cell>
          <cell r="AN14">
            <v>8</v>
          </cell>
          <cell r="AO14">
            <v>8</v>
          </cell>
          <cell r="AP14">
            <v>5645.454545454545</v>
          </cell>
          <cell r="AQ14">
            <v>5645.454545454545</v>
          </cell>
          <cell r="AR14">
            <v>0</v>
          </cell>
          <cell r="AS14">
            <v>0</v>
          </cell>
          <cell r="AT14">
            <v>0.11268372346216655</v>
          </cell>
          <cell r="AU14">
            <v>0.11268372346216655</v>
          </cell>
          <cell r="AV14">
            <v>0</v>
          </cell>
          <cell r="AW14">
            <v>0</v>
          </cell>
        </row>
        <row r="15">
          <cell r="A15">
            <v>10</v>
          </cell>
          <cell r="B15" t="str">
            <v>A254-87602</v>
          </cell>
          <cell r="C15" t="str">
            <v>REINFORCEMENT, RR SEAT BACK LH</v>
          </cell>
          <cell r="X15" t="str">
            <v>FUJI SEAT</v>
          </cell>
          <cell r="Y15">
            <v>1</v>
          </cell>
          <cell r="Z15">
            <v>15525</v>
          </cell>
          <cell r="AA15">
            <v>705.68181818181813</v>
          </cell>
          <cell r="AG15">
            <v>705.68181818181813</v>
          </cell>
        </row>
        <row r="16">
          <cell r="A16">
            <v>11</v>
          </cell>
          <cell r="B16" t="str">
            <v>72585-BZ010</v>
          </cell>
          <cell r="C16" t="str">
            <v>SEAT BELT HANGER</v>
          </cell>
          <cell r="I16" t="str">
            <v>bending</v>
          </cell>
          <cell r="X16" t="str">
            <v>FUJI SEAT</v>
          </cell>
          <cell r="Y16">
            <v>1</v>
          </cell>
          <cell r="Z16">
            <v>1200</v>
          </cell>
          <cell r="AA16">
            <v>54.545454545454547</v>
          </cell>
          <cell r="AG16">
            <v>54.545454545454547</v>
          </cell>
          <cell r="AI16">
            <v>54.545454545454547</v>
          </cell>
          <cell r="AL16">
            <v>8</v>
          </cell>
          <cell r="AM16">
            <v>8</v>
          </cell>
          <cell r="AN16">
            <v>8</v>
          </cell>
          <cell r="AO16">
            <v>8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</row>
        <row r="17">
          <cell r="A17">
            <v>12</v>
          </cell>
          <cell r="B17" t="str">
            <v>B263-87601</v>
          </cell>
          <cell r="C17" t="str">
            <v>REINFORCEMENT INNER SEAT TRACK RH</v>
          </cell>
          <cell r="I17" t="str">
            <v>bending 1</v>
          </cell>
          <cell r="N17" t="str">
            <v>bending 2</v>
          </cell>
          <cell r="S17" t="str">
            <v>bending 3</v>
          </cell>
          <cell r="X17" t="str">
            <v>FUJI SEAT</v>
          </cell>
          <cell r="Y17">
            <v>1</v>
          </cell>
          <cell r="Z17">
            <v>15550</v>
          </cell>
          <cell r="AA17">
            <v>706.81818181818187</v>
          </cell>
          <cell r="AG17">
            <v>706.81818181818187</v>
          </cell>
          <cell r="AI17">
            <v>706.81818181818187</v>
          </cell>
          <cell r="AJ17">
            <v>706.81818181818187</v>
          </cell>
          <cell r="AK17">
            <v>706.81818181818187</v>
          </cell>
          <cell r="AL17">
            <v>8</v>
          </cell>
          <cell r="AM17">
            <v>8</v>
          </cell>
          <cell r="AN17">
            <v>8</v>
          </cell>
          <cell r="AO17">
            <v>8</v>
          </cell>
          <cell r="AP17">
            <v>0</v>
          </cell>
          <cell r="AQ17">
            <v>5654.545454545455</v>
          </cell>
          <cell r="AR17">
            <v>5654.545454545455</v>
          </cell>
          <cell r="AS17">
            <v>5654.545454545455</v>
          </cell>
          <cell r="AT17">
            <v>0</v>
          </cell>
          <cell r="AU17">
            <v>0.11286517873344219</v>
          </cell>
          <cell r="AV17">
            <v>0.11286517873344219</v>
          </cell>
          <cell r="AW17">
            <v>0.11286517873344219</v>
          </cell>
        </row>
        <row r="18">
          <cell r="A18">
            <v>13</v>
          </cell>
          <cell r="B18" t="str">
            <v>B264-87601</v>
          </cell>
          <cell r="C18" t="str">
            <v>REINFORCEMENT INNER SEAT TRACK RH</v>
          </cell>
          <cell r="X18" t="str">
            <v>FUJI SEAT</v>
          </cell>
          <cell r="Y18">
            <v>1</v>
          </cell>
          <cell r="Z18">
            <v>15550</v>
          </cell>
          <cell r="AA18">
            <v>706.81818181818187</v>
          </cell>
          <cell r="AG18">
            <v>706.81818181818187</v>
          </cell>
        </row>
        <row r="19">
          <cell r="A19">
            <v>14</v>
          </cell>
          <cell r="B19" t="str">
            <v>B777-87601</v>
          </cell>
          <cell r="C19" t="str">
            <v>PLATE RR SEAT RECLINING LWR ARM RH</v>
          </cell>
          <cell r="D19" t="str">
            <v>joggling</v>
          </cell>
          <cell r="I19" t="str">
            <v>pierching</v>
          </cell>
          <cell r="X19" t="str">
            <v>FUJI SEAT</v>
          </cell>
          <cell r="Y19">
            <v>1</v>
          </cell>
          <cell r="Z19">
            <v>15525</v>
          </cell>
          <cell r="AA19">
            <v>705.68181818181813</v>
          </cell>
          <cell r="AG19">
            <v>705.68181818181813</v>
          </cell>
          <cell r="AH19">
            <v>705.68181818181813</v>
          </cell>
          <cell r="AI19">
            <v>705.68181818181813</v>
          </cell>
          <cell r="AL19">
            <v>8</v>
          </cell>
          <cell r="AM19">
            <v>8</v>
          </cell>
          <cell r="AN19">
            <v>8</v>
          </cell>
          <cell r="AO19">
            <v>8</v>
          </cell>
          <cell r="AP19">
            <v>5645.454545454545</v>
          </cell>
          <cell r="AQ19">
            <v>5645.454545454545</v>
          </cell>
          <cell r="AR19">
            <v>0</v>
          </cell>
          <cell r="AS19">
            <v>0</v>
          </cell>
          <cell r="AT19">
            <v>0.11268372346216655</v>
          </cell>
          <cell r="AU19">
            <v>0.11268372346216655</v>
          </cell>
          <cell r="AV19">
            <v>0</v>
          </cell>
          <cell r="AW19">
            <v>0</v>
          </cell>
        </row>
        <row r="20">
          <cell r="A20">
            <v>15</v>
          </cell>
          <cell r="B20" t="str">
            <v>B778-87601</v>
          </cell>
          <cell r="C20" t="str">
            <v>PLATE RR SEAT RECLINING LWR ARM RH</v>
          </cell>
          <cell r="X20" t="str">
            <v>FUJI SEAT</v>
          </cell>
          <cell r="Y20">
            <v>1</v>
          </cell>
          <cell r="Z20">
            <v>15525</v>
          </cell>
          <cell r="AA20">
            <v>705.68181818181813</v>
          </cell>
          <cell r="AG20">
            <v>705.68181818181813</v>
          </cell>
        </row>
        <row r="21">
          <cell r="A21">
            <v>16</v>
          </cell>
          <cell r="B21" t="str">
            <v>D-063-119-D3-1</v>
          </cell>
          <cell r="C21" t="str">
            <v>Body Hinge 476 C</v>
          </cell>
          <cell r="D21" t="str">
            <v>Blank (1/4)</v>
          </cell>
          <cell r="E21">
            <v>420</v>
          </cell>
          <cell r="F21">
            <v>200</v>
          </cell>
          <cell r="G21">
            <v>290</v>
          </cell>
          <cell r="I21" t="str">
            <v>bending (2/4)</v>
          </cell>
          <cell r="J21">
            <v>420</v>
          </cell>
          <cell r="K21">
            <v>260</v>
          </cell>
          <cell r="L21">
            <v>270</v>
          </cell>
          <cell r="N21" t="str">
            <v>bend2 (3/4)</v>
          </cell>
          <cell r="O21">
            <v>360</v>
          </cell>
          <cell r="P21">
            <v>260</v>
          </cell>
          <cell r="Q21">
            <v>220</v>
          </cell>
          <cell r="S21" t="str">
            <v>Pierching (4/4)</v>
          </cell>
          <cell r="U21">
            <v>2</v>
          </cell>
          <cell r="V21">
            <v>840</v>
          </cell>
          <cell r="W21">
            <v>40</v>
          </cell>
          <cell r="X21" t="str">
            <v>MEIWA</v>
          </cell>
          <cell r="Y21">
            <v>1</v>
          </cell>
          <cell r="Z21">
            <v>1380.0000000000002</v>
          </cell>
          <cell r="AA21">
            <v>62.727272727272741</v>
          </cell>
          <cell r="AB21">
            <v>520</v>
          </cell>
          <cell r="AC21">
            <v>26</v>
          </cell>
          <cell r="AD21">
            <v>20</v>
          </cell>
          <cell r="AG21">
            <v>62.727272727272741</v>
          </cell>
          <cell r="AH21">
            <v>62.727272727272741</v>
          </cell>
          <cell r="AI21">
            <v>62.727272727272741</v>
          </cell>
          <cell r="AJ21">
            <v>62.727272727272741</v>
          </cell>
          <cell r="AK21">
            <v>62.727272727272741</v>
          </cell>
          <cell r="AL21">
            <v>8</v>
          </cell>
          <cell r="AM21">
            <v>8</v>
          </cell>
          <cell r="AN21">
            <v>8</v>
          </cell>
          <cell r="AO21">
            <v>8</v>
          </cell>
          <cell r="AP21">
            <v>501.81818181818193</v>
          </cell>
          <cell r="AQ21">
            <v>501.81818181818193</v>
          </cell>
          <cell r="AR21">
            <v>501.81818181818193</v>
          </cell>
          <cell r="AS21">
            <v>501.81818181818193</v>
          </cell>
          <cell r="AT21">
            <v>1.0016330974414808E-2</v>
          </cell>
          <cell r="AU21">
            <v>1.0016330974414808E-2</v>
          </cell>
          <cell r="AV21">
            <v>1.0016330974414808E-2</v>
          </cell>
          <cell r="AW21">
            <v>1.0016330974414808E-2</v>
          </cell>
          <cell r="BD21">
            <v>798.695652173913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"/>
      <sheetName val="HIS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ผ่อง"/>
      <sheetName val="OD"/>
      <sheetName val="BA"/>
      <sheetName val="BB"/>
      <sheetName val="BC"/>
      <sheetName val="BD"/>
      <sheetName val="BE"/>
      <sheetName val="AA"/>
      <sheetName val="AB"/>
      <sheetName val="AC"/>
      <sheetName val="AD"/>
      <sheetName val="P2"/>
      <sheetName val="P3"/>
      <sheetName val="P8"/>
      <sheetName val="NP9"/>
      <sheetName val="NP10"/>
      <sheetName val="NP11"/>
      <sheetName val="P6"/>
      <sheetName val="P7"/>
      <sheetName val="PT300"/>
      <sheetName val="BL-T@"/>
      <sheetName val="TA1"/>
      <sheetName val="TA2"/>
      <sheetName val="TB1"/>
      <sheetName val="TB2"/>
      <sheetName val="TC1"/>
      <sheetName val="TC2"/>
      <sheetName val="TD1"/>
      <sheetName val="TD2"/>
      <sheetName val="TPS"/>
      <sheetName val="LV"/>
      <sheetName val="G1"/>
      <sheetName val="G2"/>
      <sheetName val="ถังขยะ"/>
      <sheetName val="impove"/>
    </sheetNames>
    <sheetDataSet>
      <sheetData sheetId="0" refreshError="1"/>
      <sheetData sheetId="1" refreshError="1">
        <row r="6">
          <cell r="I6">
            <v>1295</v>
          </cell>
        </row>
        <row r="7">
          <cell r="I7">
            <v>849</v>
          </cell>
          <cell r="J7">
            <v>4466</v>
          </cell>
        </row>
        <row r="8">
          <cell r="I8">
            <v>2322</v>
          </cell>
          <cell r="K8">
            <v>6380</v>
          </cell>
        </row>
        <row r="9">
          <cell r="I9">
            <v>555</v>
          </cell>
        </row>
        <row r="10">
          <cell r="I10">
            <v>364</v>
          </cell>
          <cell r="J10">
            <v>1914</v>
          </cell>
        </row>
        <row r="11">
          <cell r="I11">
            <v>995</v>
          </cell>
        </row>
        <row r="12">
          <cell r="J12">
            <v>1200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T"/>
      <sheetName val="AEI"/>
      <sheetName val="CSA"/>
      <sheetName val="DDI"/>
      <sheetName val="DHI"/>
      <sheetName val="DIP"/>
      <sheetName val="HIT"/>
      <sheetName val="HIS"/>
      <sheetName val="HOI"/>
      <sheetName val="JVC"/>
      <sheetName val="KDC"/>
      <sheetName val="KDG"/>
      <sheetName val="KDD"/>
      <sheetName val="KDF"/>
      <sheetName val="KDW"/>
      <sheetName val="LGA"/>
      <sheetName val="LGC"/>
      <sheetName val="LGR"/>
      <sheetName val="LGT"/>
      <sheetName val="MAS"/>
      <sheetName val="MAT"/>
      <sheetName val="MCI"/>
      <sheetName val="MET"/>
      <sheetName val="MTS"/>
      <sheetName val="NAC"/>
      <sheetName val="NBF"/>
      <sheetName val="NBW"/>
      <sheetName val="NBP"/>
      <sheetName val="NBR"/>
      <sheetName val="NBT"/>
      <sheetName val="PEC"/>
      <sheetName val="PGE"/>
      <sheetName val="PLE"/>
      <sheetName val="PJI"/>
      <sheetName val="SAM"/>
      <sheetName val="SAN"/>
      <sheetName val="SLC"/>
      <sheetName val="SMU"/>
      <sheetName val="SYH"/>
      <sheetName val="SYT"/>
      <sheetName val="SYW"/>
      <sheetName val="SYA"/>
      <sheetName val="TOA"/>
      <sheetName val="UEP"/>
      <sheetName val="YKK"/>
      <sheetName val="VME"/>
      <sheetName val="E TOPICS"/>
      <sheetName val="Attach"/>
      <sheetName val="e-1810_A"/>
      <sheetName val="VOLUME"/>
      <sheetName val="PP_Letter 389N"/>
      <sheetName val="日付"/>
      <sheetName val="Loss_KRS"/>
      <sheetName val="In Proses_IND"/>
      <sheetName val="In Proses_KRS"/>
      <sheetName val="Assumptions"/>
      <sheetName val="_L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C7" t="str">
            <v>HEX NUT  M8  UC K13</v>
          </cell>
        </row>
        <row r="8">
          <cell r="C8" t="str">
            <v>SMH  6X20  UC</v>
          </cell>
        </row>
        <row r="9">
          <cell r="C9" t="str">
            <v>SMH  8X25  UC K13</v>
          </cell>
        </row>
        <row r="10">
          <cell r="C10" t="str">
            <v>SMH 10X20  UC K17</v>
          </cell>
        </row>
        <row r="11">
          <cell r="C11" t="str">
            <v>SMP  4X20  UC</v>
          </cell>
        </row>
        <row r="12">
          <cell r="C12" t="str">
            <v>SMP  8X50  UC</v>
          </cell>
        </row>
        <row r="13">
          <cell r="C13" t="str">
            <v>STW  5X16  MC</v>
          </cell>
        </row>
        <row r="14">
          <cell r="C14" t="str">
            <v>SW  M 4  UC</v>
          </cell>
        </row>
        <row r="15">
          <cell r="C15" t="str">
            <v>SW  M 6  MC</v>
          </cell>
        </row>
        <row r="16">
          <cell r="C16" t="str">
            <v>SW  M 6  UC</v>
          </cell>
        </row>
        <row r="17">
          <cell r="C17" t="str">
            <v>SW  M 8  UC</v>
          </cell>
        </row>
        <row r="18">
          <cell r="C18" t="str">
            <v>SW  M10  UC</v>
          </cell>
        </row>
        <row r="19">
          <cell r="C19" t="str">
            <v>TSAB  3 X 5  MC</v>
          </cell>
        </row>
        <row r="20">
          <cell r="C20" t="str">
            <v>TSAB  3.5X12  UC</v>
          </cell>
        </row>
        <row r="21">
          <cell r="C21" t="str">
            <v>TSABT #10X5/8  MC</v>
          </cell>
        </row>
        <row r="22">
          <cell r="C22" t="str">
            <v>TSABT#  6X1/2  UC*</v>
          </cell>
        </row>
        <row r="23">
          <cell r="C23" t="str">
            <v>TSABW  5X16  MC</v>
          </cell>
        </row>
        <row r="24">
          <cell r="C24" t="str">
            <v>TSABW  5X16  NI</v>
          </cell>
        </row>
        <row r="25">
          <cell r="C25" t="str">
            <v>TSAT  4X10  MC</v>
          </cell>
        </row>
        <row r="26">
          <cell r="C26" t="str">
            <v>TSAT  4X10  SUS</v>
          </cell>
        </row>
        <row r="27">
          <cell r="C27" t="str">
            <v>TSAT  4X12  MC</v>
          </cell>
        </row>
        <row r="28">
          <cell r="C28" t="str">
            <v>TSAT  4X12  SUS</v>
          </cell>
        </row>
        <row r="29">
          <cell r="C29" t="str">
            <v>TSAT  4X18  SUS</v>
          </cell>
        </row>
        <row r="30">
          <cell r="C30" t="str">
            <v>TSAT  4X35  SUS</v>
          </cell>
        </row>
        <row r="31">
          <cell r="C31" t="str">
            <v>TSAT  5X16  MC</v>
          </cell>
        </row>
        <row r="32">
          <cell r="C32" t="str">
            <v>TSAV  3X16  UC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Harian Small"/>
      <sheetName val="sum stock gudang"/>
      <sheetName val="P_DEL"/>
      <sheetName val="stock"/>
      <sheetName val="_LOD"/>
      <sheetName val="D1 set"/>
      <sheetName val="D1monitor"/>
      <sheetName val="print"/>
      <sheetName val="wekkly"/>
      <sheetName val="fop"/>
      <sheetName val="problem list"/>
      <sheetName val="konfigurasi"/>
      <sheetName val="Sheet1"/>
      <sheetName val="ｴｱﾃﾞｨｽｸ"/>
    </sheetNames>
    <sheetDataSet>
      <sheetData sheetId="0"/>
      <sheetData sheetId="1" refreshError="1"/>
      <sheetData sheetId="2" refreshError="1"/>
      <sheetData sheetId="3" refreshError="1"/>
      <sheetData sheetId="4" refreshError="1">
        <row r="6">
          <cell r="A6">
            <v>1</v>
          </cell>
          <cell r="B6" t="str">
            <v>5LW-85559-11-00-80</v>
          </cell>
          <cell r="C6" t="str">
            <v>ROTOR</v>
          </cell>
          <cell r="D6" t="str">
            <v>Draw</v>
          </cell>
          <cell r="E6">
            <v>600</v>
          </cell>
          <cell r="F6">
            <v>380</v>
          </cell>
          <cell r="G6">
            <v>430</v>
          </cell>
          <cell r="I6" t="str">
            <v>Pierching</v>
          </cell>
          <cell r="J6">
            <v>530</v>
          </cell>
          <cell r="K6">
            <v>310</v>
          </cell>
          <cell r="L6">
            <v>310</v>
          </cell>
          <cell r="N6" t="str">
            <v>Champer – Burning</v>
          </cell>
          <cell r="O6">
            <v>530</v>
          </cell>
          <cell r="P6">
            <v>300</v>
          </cell>
          <cell r="Q6">
            <v>310</v>
          </cell>
          <cell r="S6" t="str">
            <v>Half Pierching</v>
          </cell>
          <cell r="T6">
            <v>550</v>
          </cell>
          <cell r="U6">
            <v>300</v>
          </cell>
          <cell r="V6">
            <v>330</v>
          </cell>
          <cell r="X6" t="str">
            <v>YEID</v>
          </cell>
          <cell r="Y6">
            <v>1</v>
          </cell>
          <cell r="Z6">
            <v>6250</v>
          </cell>
          <cell r="AA6">
            <v>284.09090909090907</v>
          </cell>
          <cell r="AB6">
            <v>3000</v>
          </cell>
          <cell r="AG6">
            <v>284.09090909090907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6.5454545454545459</v>
          </cell>
          <cell r="AM6">
            <v>6.5454545454545459</v>
          </cell>
          <cell r="AN6">
            <v>6.5454545454545459</v>
          </cell>
          <cell r="AO6">
            <v>6.5454545454545459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BB6">
            <v>25</v>
          </cell>
          <cell r="BC6">
            <v>40</v>
          </cell>
          <cell r="BD6">
            <v>176.35200000000003</v>
          </cell>
          <cell r="BE6">
            <v>0</v>
          </cell>
          <cell r="BF6">
            <v>0</v>
          </cell>
          <cell r="BG6">
            <v>4000</v>
          </cell>
        </row>
        <row r="7">
          <cell r="A7">
            <v>2</v>
          </cell>
          <cell r="B7" t="str">
            <v>E-063-416-DO</v>
          </cell>
          <cell r="C7" t="str">
            <v>HINGE,RR SEAT  INN RH</v>
          </cell>
          <cell r="D7" t="str">
            <v>Bending</v>
          </cell>
          <cell r="E7">
            <v>560</v>
          </cell>
          <cell r="F7">
            <v>340</v>
          </cell>
          <cell r="G7">
            <v>230</v>
          </cell>
          <cell r="I7" t="str">
            <v>Forming</v>
          </cell>
          <cell r="J7">
            <v>640</v>
          </cell>
          <cell r="K7">
            <v>340</v>
          </cell>
          <cell r="L7">
            <v>340</v>
          </cell>
          <cell r="N7" t="str">
            <v>Blank</v>
          </cell>
          <cell r="O7">
            <v>500</v>
          </cell>
          <cell r="P7">
            <v>300</v>
          </cell>
          <cell r="Q7">
            <v>270</v>
          </cell>
          <cell r="S7" t="str">
            <v>Pierching</v>
          </cell>
          <cell r="T7">
            <v>400</v>
          </cell>
          <cell r="U7">
            <v>200</v>
          </cell>
          <cell r="V7">
            <v>200</v>
          </cell>
          <cell r="X7" t="str">
            <v>MEIWA</v>
          </cell>
          <cell r="Y7">
            <v>2</v>
          </cell>
          <cell r="Z7">
            <v>0</v>
          </cell>
          <cell r="AA7">
            <v>0</v>
          </cell>
          <cell r="AB7">
            <v>1440</v>
          </cell>
          <cell r="AC7">
            <v>12</v>
          </cell>
          <cell r="AD7">
            <v>120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6.5454545454545459</v>
          </cell>
          <cell r="AM7">
            <v>6.5454545454545459</v>
          </cell>
          <cell r="AN7">
            <v>6.5454545454545459</v>
          </cell>
          <cell r="AO7">
            <v>6.5454545454545459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BB7">
            <v>40</v>
          </cell>
          <cell r="BD7" t="e">
            <v>#DIV/0!</v>
          </cell>
          <cell r="BE7">
            <v>0</v>
          </cell>
          <cell r="BF7">
            <v>0</v>
          </cell>
          <cell r="BG7">
            <v>1440</v>
          </cell>
        </row>
        <row r="8">
          <cell r="A8">
            <v>3</v>
          </cell>
          <cell r="B8" t="str">
            <v>E-063-417-DO</v>
          </cell>
          <cell r="C8" t="str">
            <v>HINGE,RR SEAT  INN LH</v>
          </cell>
          <cell r="X8" t="str">
            <v>MEIWA</v>
          </cell>
          <cell r="Z8">
            <v>0</v>
          </cell>
          <cell r="AA8">
            <v>0</v>
          </cell>
          <cell r="AB8">
            <v>1440</v>
          </cell>
          <cell r="AC8">
            <v>12</v>
          </cell>
          <cell r="AD8">
            <v>120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6.5454545454545459</v>
          </cell>
          <cell r="AM8">
            <v>6.5454545454545459</v>
          </cell>
          <cell r="AN8">
            <v>6.5454545454545459</v>
          </cell>
          <cell r="AO8">
            <v>6.5454545454545459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BB8">
            <v>40</v>
          </cell>
          <cell r="BD8" t="e">
            <v>#DIV/0!</v>
          </cell>
          <cell r="BE8">
            <v>0</v>
          </cell>
          <cell r="BF8">
            <v>0</v>
          </cell>
          <cell r="BG8">
            <v>1440</v>
          </cell>
        </row>
        <row r="9">
          <cell r="A9">
            <v>4</v>
          </cell>
          <cell r="B9" t="str">
            <v>67183-BZ010-00</v>
          </cell>
          <cell r="C9" t="str">
            <v>PATCH DOOR RH</v>
          </cell>
          <cell r="D9" t="str">
            <v>Flange</v>
          </cell>
          <cell r="E9">
            <v>420</v>
          </cell>
          <cell r="F9">
            <v>340</v>
          </cell>
          <cell r="G9">
            <v>280</v>
          </cell>
          <cell r="I9" t="str">
            <v>Forming</v>
          </cell>
          <cell r="J9">
            <v>700</v>
          </cell>
          <cell r="K9">
            <v>300</v>
          </cell>
          <cell r="L9">
            <v>445</v>
          </cell>
          <cell r="N9" t="str">
            <v>Blank (1/1)</v>
          </cell>
          <cell r="S9" t="str">
            <v>Pierching 1</v>
          </cell>
          <cell r="T9">
            <v>450</v>
          </cell>
          <cell r="U9">
            <v>250</v>
          </cell>
          <cell r="V9">
            <v>260</v>
          </cell>
          <cell r="X9" t="str">
            <v>ADM</v>
          </cell>
          <cell r="Y9">
            <v>2</v>
          </cell>
          <cell r="Z9">
            <v>0</v>
          </cell>
          <cell r="AA9">
            <v>0</v>
          </cell>
          <cell r="AB9">
            <v>1120</v>
          </cell>
          <cell r="AC9">
            <v>7</v>
          </cell>
          <cell r="AD9">
            <v>160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6.5454545454545459</v>
          </cell>
          <cell r="AM9">
            <v>6.5454545454545459</v>
          </cell>
          <cell r="AN9">
            <v>6.5454545454545459</v>
          </cell>
          <cell r="AO9">
            <v>6.5454545454545459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BB9">
            <v>100</v>
          </cell>
          <cell r="BD9" t="e">
            <v>#DIV/0!</v>
          </cell>
          <cell r="BE9">
            <v>0</v>
          </cell>
          <cell r="BF9">
            <v>0</v>
          </cell>
          <cell r="BG9">
            <v>1120</v>
          </cell>
        </row>
        <row r="10">
          <cell r="A10">
            <v>5</v>
          </cell>
          <cell r="B10" t="str">
            <v>67184-BZ010-00</v>
          </cell>
          <cell r="C10" t="str">
            <v>PATCH DOOR LH</v>
          </cell>
          <cell r="X10" t="str">
            <v>ADM</v>
          </cell>
          <cell r="Z10">
            <v>0</v>
          </cell>
          <cell r="AA10">
            <v>0</v>
          </cell>
          <cell r="AB10">
            <v>1120</v>
          </cell>
          <cell r="AC10">
            <v>7</v>
          </cell>
          <cell r="AD10">
            <v>160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6.5454545454545459</v>
          </cell>
          <cell r="AM10">
            <v>6.5454545454545459</v>
          </cell>
          <cell r="AN10">
            <v>6.5454545454545459</v>
          </cell>
          <cell r="AO10">
            <v>6.5454545454545459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BB10">
            <v>100</v>
          </cell>
          <cell r="BD10" t="e">
            <v>#DIV/0!</v>
          </cell>
          <cell r="BE10">
            <v>0</v>
          </cell>
          <cell r="BF10">
            <v>0</v>
          </cell>
          <cell r="BG10">
            <v>1120</v>
          </cell>
        </row>
        <row r="11">
          <cell r="A11">
            <v>6</v>
          </cell>
          <cell r="B11" t="str">
            <v>B143-87402</v>
          </cell>
          <cell r="C11" t="str">
            <v>BRKT FR OUT SEAT TRCK LWR RR (B121500)</v>
          </cell>
          <cell r="D11" t="str">
            <v>bending (3/4)</v>
          </cell>
          <cell r="I11" t="str">
            <v>bending (2/4)</v>
          </cell>
          <cell r="N11" t="str">
            <v>pierc(4/4)</v>
          </cell>
          <cell r="S11" t="str">
            <v>Blnk (1/4)</v>
          </cell>
          <cell r="X11" t="str">
            <v>FUJI SEAT</v>
          </cell>
          <cell r="Y11">
            <v>1</v>
          </cell>
          <cell r="Z11">
            <v>6400</v>
          </cell>
          <cell r="AA11">
            <v>290.90909090909093</v>
          </cell>
          <cell r="AB11">
            <v>560</v>
          </cell>
          <cell r="AC11">
            <v>14</v>
          </cell>
          <cell r="AD11">
            <v>40</v>
          </cell>
          <cell r="AG11">
            <v>290.90909090909093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6.5454545454545459</v>
          </cell>
          <cell r="AM11">
            <v>6.5454545454545459</v>
          </cell>
          <cell r="AN11">
            <v>6.5454545454545459</v>
          </cell>
          <cell r="AO11">
            <v>6.5454545454545459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BD11">
            <v>172.21875</v>
          </cell>
        </row>
        <row r="12">
          <cell r="A12">
            <v>7</v>
          </cell>
          <cell r="B12" t="str">
            <v>33228-61J20</v>
          </cell>
          <cell r="C12" t="str">
            <v>COVER COMP SENSOR 1</v>
          </cell>
          <cell r="D12" t="str">
            <v>Blank (1/4)</v>
          </cell>
          <cell r="I12" t="str">
            <v>bending (2/4)</v>
          </cell>
          <cell r="N12" t="str">
            <v>bending (3/4)</v>
          </cell>
          <cell r="S12" t="str">
            <v>pierc (4/4)</v>
          </cell>
          <cell r="T12">
            <v>1</v>
          </cell>
          <cell r="U12">
            <v>3568</v>
          </cell>
          <cell r="V12">
            <v>170</v>
          </cell>
          <cell r="W12">
            <v>1200</v>
          </cell>
          <cell r="X12" t="str">
            <v>SIM</v>
          </cell>
          <cell r="Y12">
            <v>1</v>
          </cell>
          <cell r="Z12">
            <v>5420</v>
          </cell>
          <cell r="AA12">
            <v>246.36363636363637</v>
          </cell>
          <cell r="AB12">
            <v>600</v>
          </cell>
          <cell r="AC12">
            <v>15</v>
          </cell>
          <cell r="AD12">
            <v>40</v>
          </cell>
          <cell r="AG12">
            <v>246.36363636363637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6.5454545454545459</v>
          </cell>
          <cell r="AM12">
            <v>6.5454545454545459</v>
          </cell>
          <cell r="AN12">
            <v>6.5454545454545459</v>
          </cell>
          <cell r="AO12">
            <v>6.5454545454545459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BD12">
            <v>203.35793357933582</v>
          </cell>
        </row>
        <row r="13">
          <cell r="A13">
            <v>8</v>
          </cell>
          <cell r="B13" t="str">
            <v>A121-87604</v>
          </cell>
          <cell r="C13" t="str">
            <v>REINFORCEMENT, FR SEAT CUSHION</v>
          </cell>
          <cell r="D13" t="str">
            <v>bending 1</v>
          </cell>
          <cell r="E13">
            <v>600</v>
          </cell>
          <cell r="F13">
            <v>380</v>
          </cell>
          <cell r="G13">
            <v>430</v>
          </cell>
          <cell r="I13" t="str">
            <v>bending 2</v>
          </cell>
          <cell r="J13">
            <v>530</v>
          </cell>
          <cell r="K13">
            <v>310</v>
          </cell>
          <cell r="L13">
            <v>310</v>
          </cell>
          <cell r="O13">
            <v>530</v>
          </cell>
          <cell r="P13">
            <v>300</v>
          </cell>
          <cell r="Q13">
            <v>310</v>
          </cell>
          <cell r="X13" t="str">
            <v>FUJI SEAT</v>
          </cell>
          <cell r="Y13">
            <v>1</v>
          </cell>
          <cell r="Z13">
            <v>51840</v>
          </cell>
          <cell r="AA13">
            <v>2356.3636363636365</v>
          </cell>
          <cell r="AB13">
            <v>601</v>
          </cell>
          <cell r="AG13">
            <v>2356.3636363636365</v>
          </cell>
          <cell r="AH13">
            <v>0</v>
          </cell>
          <cell r="AI13">
            <v>0</v>
          </cell>
          <cell r="AJ13">
            <v>2356.3636363636365</v>
          </cell>
          <cell r="AK13">
            <v>2356.3636363636365</v>
          </cell>
          <cell r="AL13">
            <v>6.5454545454545459</v>
          </cell>
          <cell r="AM13">
            <v>6.5454545454545459</v>
          </cell>
          <cell r="AN13">
            <v>6.5454545454545459</v>
          </cell>
          <cell r="AO13">
            <v>6.5454545454545459</v>
          </cell>
          <cell r="AP13">
            <v>0</v>
          </cell>
          <cell r="AQ13">
            <v>0</v>
          </cell>
          <cell r="AR13">
            <v>15423.471074380168</v>
          </cell>
          <cell r="AS13">
            <v>15423.471074380168</v>
          </cell>
          <cell r="AT13">
            <v>0</v>
          </cell>
          <cell r="AU13">
            <v>0</v>
          </cell>
          <cell r="AV13">
            <v>0.30785371405948436</v>
          </cell>
          <cell r="AW13">
            <v>0.30785371405948436</v>
          </cell>
          <cell r="BD13">
            <v>21.261574074074076</v>
          </cell>
        </row>
        <row r="14">
          <cell r="A14">
            <v>9</v>
          </cell>
          <cell r="B14" t="str">
            <v>A253-87602</v>
          </cell>
          <cell r="C14" t="str">
            <v>REINFORCEMENT, RR SEAT BACK RH</v>
          </cell>
          <cell r="D14" t="str">
            <v>Bending</v>
          </cell>
          <cell r="I14" t="str">
            <v>pierching</v>
          </cell>
          <cell r="X14" t="str">
            <v>FUJI SEAT</v>
          </cell>
          <cell r="Y14">
            <v>1</v>
          </cell>
          <cell r="Z14">
            <v>23940</v>
          </cell>
          <cell r="AA14">
            <v>1088.1818181818182</v>
          </cell>
          <cell r="AG14">
            <v>1088.1818181818182</v>
          </cell>
          <cell r="AH14">
            <v>0</v>
          </cell>
          <cell r="AI14">
            <v>0</v>
          </cell>
          <cell r="AJ14">
            <v>1088.1818181818182</v>
          </cell>
          <cell r="AK14">
            <v>1088.1818181818182</v>
          </cell>
          <cell r="AL14">
            <v>6.5454545454545459</v>
          </cell>
          <cell r="AM14">
            <v>6.5454545454545459</v>
          </cell>
          <cell r="AN14">
            <v>6.5454545454545459</v>
          </cell>
          <cell r="AO14">
            <v>6.5454545454545459</v>
          </cell>
          <cell r="AP14">
            <v>0</v>
          </cell>
          <cell r="AQ14">
            <v>0</v>
          </cell>
          <cell r="AR14">
            <v>7122.644628099174</v>
          </cell>
          <cell r="AS14">
            <v>7122.644628099174</v>
          </cell>
          <cell r="AT14">
            <v>0</v>
          </cell>
          <cell r="AU14">
            <v>0</v>
          </cell>
          <cell r="AV14">
            <v>0.14216855545108129</v>
          </cell>
          <cell r="AW14">
            <v>0.14216855545108129</v>
          </cell>
          <cell r="BD14">
            <v>46.040100250626573</v>
          </cell>
        </row>
        <row r="15">
          <cell r="A15">
            <v>10</v>
          </cell>
          <cell r="B15" t="str">
            <v>A254-87602</v>
          </cell>
          <cell r="C15" t="str">
            <v>REINFORCEMENT, RR SEAT BACK LH</v>
          </cell>
          <cell r="X15" t="str">
            <v>FUJI SEAT</v>
          </cell>
          <cell r="Y15">
            <v>1</v>
          </cell>
          <cell r="Z15">
            <v>23940</v>
          </cell>
          <cell r="AA15">
            <v>1088.1818181818182</v>
          </cell>
          <cell r="AG15">
            <v>1088.1818181818182</v>
          </cell>
          <cell r="AH15">
            <v>1088.1818181818182</v>
          </cell>
          <cell r="AI15">
            <v>1088.1818181818182</v>
          </cell>
          <cell r="AJ15">
            <v>1088.1818181818182</v>
          </cell>
          <cell r="AK15">
            <v>1088.1818181818182</v>
          </cell>
          <cell r="AL15">
            <v>6.5454545454545459</v>
          </cell>
          <cell r="AM15">
            <v>6.5454545454545459</v>
          </cell>
          <cell r="AN15">
            <v>6.5454545454545459</v>
          </cell>
          <cell r="AO15">
            <v>6.5454545454545459</v>
          </cell>
          <cell r="AP15">
            <v>7122.644628099174</v>
          </cell>
          <cell r="AQ15">
            <v>7122.644628099174</v>
          </cell>
          <cell r="AR15">
            <v>7122.644628099174</v>
          </cell>
          <cell r="AS15">
            <v>7122.644628099174</v>
          </cell>
          <cell r="AT15">
            <v>0.14216855545108129</v>
          </cell>
          <cell r="AU15">
            <v>0.14216855545108129</v>
          </cell>
          <cell r="AV15">
            <v>0.14216855545108129</v>
          </cell>
          <cell r="AW15">
            <v>0.14216855545108129</v>
          </cell>
          <cell r="BD15">
            <v>46.040100250626573</v>
          </cell>
        </row>
        <row r="16">
          <cell r="A16">
            <v>12</v>
          </cell>
          <cell r="B16" t="str">
            <v>B263-87601</v>
          </cell>
          <cell r="C16" t="str">
            <v>REINFORCEMENT INNER SEAT TRACK RH</v>
          </cell>
          <cell r="D16" t="str">
            <v>Blank (1/4)</v>
          </cell>
          <cell r="I16" t="str">
            <v>bending 1</v>
          </cell>
          <cell r="N16" t="str">
            <v>bending 2</v>
          </cell>
          <cell r="S16" t="str">
            <v>bending 3</v>
          </cell>
          <cell r="X16" t="str">
            <v>FUJI SEAT</v>
          </cell>
          <cell r="Y16">
            <v>1</v>
          </cell>
          <cell r="Z16">
            <v>23950</v>
          </cell>
          <cell r="AA16">
            <v>1088.6363636363637</v>
          </cell>
          <cell r="AG16">
            <v>1088.6363636363637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6.5454545454545459</v>
          </cell>
          <cell r="AM16">
            <v>6.5454545454545459</v>
          </cell>
          <cell r="AN16">
            <v>6.5454545454545459</v>
          </cell>
          <cell r="AO16">
            <v>6.5454545454545459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BD16">
            <v>46.020876826722343</v>
          </cell>
        </row>
        <row r="17">
          <cell r="A17">
            <v>13</v>
          </cell>
          <cell r="B17" t="str">
            <v>B264-87601</v>
          </cell>
          <cell r="C17" t="str">
            <v>REINFORCEMENT INNER SEAT TRACK RH</v>
          </cell>
          <cell r="X17" t="str">
            <v>FUJI SEAT</v>
          </cell>
          <cell r="Y17">
            <v>1</v>
          </cell>
          <cell r="Z17">
            <v>23950</v>
          </cell>
          <cell r="AA17">
            <v>1088.6363636363637</v>
          </cell>
          <cell r="AG17">
            <v>1088.6363636363637</v>
          </cell>
          <cell r="AH17">
            <v>1088.6363636363637</v>
          </cell>
          <cell r="AI17">
            <v>1088.6363636363637</v>
          </cell>
          <cell r="AJ17">
            <v>1088.6363636363637</v>
          </cell>
          <cell r="AK17">
            <v>1088.6363636363637</v>
          </cell>
          <cell r="AL17">
            <v>6.5454545454545459</v>
          </cell>
          <cell r="AM17">
            <v>6.5454545454545459</v>
          </cell>
          <cell r="AN17">
            <v>6.5454545454545459</v>
          </cell>
          <cell r="AO17">
            <v>6.5454545454545459</v>
          </cell>
          <cell r="AP17">
            <v>7125.6198347107447</v>
          </cell>
          <cell r="AQ17">
            <v>7125.6198347107447</v>
          </cell>
          <cell r="AR17">
            <v>7125.6198347107447</v>
          </cell>
          <cell r="AS17">
            <v>7125.6198347107447</v>
          </cell>
          <cell r="AT17">
            <v>0.14222794081258969</v>
          </cell>
          <cell r="AU17">
            <v>0.14222794081258969</v>
          </cell>
          <cell r="AV17">
            <v>0.14222794081258969</v>
          </cell>
          <cell r="AW17">
            <v>0.14222794081258969</v>
          </cell>
          <cell r="BD17">
            <v>46.020876826722343</v>
          </cell>
        </row>
        <row r="18">
          <cell r="A18">
            <v>16</v>
          </cell>
          <cell r="B18" t="str">
            <v>50351-KVY-9000-22</v>
          </cell>
          <cell r="C18" t="str">
            <v>BRKT UPPER</v>
          </cell>
          <cell r="N18" t="str">
            <v>bending</v>
          </cell>
          <cell r="U18">
            <v>2</v>
          </cell>
          <cell r="V18">
            <v>840</v>
          </cell>
          <cell r="W18">
            <v>40</v>
          </cell>
          <cell r="X18" t="str">
            <v>TRIX</v>
          </cell>
          <cell r="Y18">
            <v>1</v>
          </cell>
          <cell r="Z18">
            <v>0</v>
          </cell>
          <cell r="AA18">
            <v>0</v>
          </cell>
          <cell r="AB18">
            <v>520</v>
          </cell>
          <cell r="AC18">
            <v>26</v>
          </cell>
          <cell r="AD18">
            <v>20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6.5454545454545459</v>
          </cell>
          <cell r="AM18">
            <v>6.5454545454545459</v>
          </cell>
          <cell r="AN18">
            <v>6.5454545454545459</v>
          </cell>
          <cell r="AO18">
            <v>6.5454545454545459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BD18" t="e">
            <v>#DIV/0!</v>
          </cell>
        </row>
        <row r="19">
          <cell r="A19">
            <v>17</v>
          </cell>
          <cell r="B19" t="str">
            <v>50351-KVY-9000-23</v>
          </cell>
          <cell r="C19" t="str">
            <v>BRKT LOWER</v>
          </cell>
          <cell r="S19" t="str">
            <v>bending</v>
          </cell>
          <cell r="U19">
            <v>2</v>
          </cell>
          <cell r="V19">
            <v>840</v>
          </cell>
          <cell r="W19">
            <v>40</v>
          </cell>
          <cell r="X19" t="str">
            <v>TRIX</v>
          </cell>
          <cell r="Y19">
            <v>1</v>
          </cell>
          <cell r="Z19">
            <v>0</v>
          </cell>
          <cell r="AA19">
            <v>0</v>
          </cell>
          <cell r="AB19">
            <v>520</v>
          </cell>
          <cell r="AC19">
            <v>26</v>
          </cell>
          <cell r="AD19">
            <v>20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6.5454545454545459</v>
          </cell>
          <cell r="AM19">
            <v>6.5454545454545459</v>
          </cell>
          <cell r="AN19">
            <v>6.5454545454545459</v>
          </cell>
          <cell r="AO19">
            <v>6.5454545454545459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BD19" t="e">
            <v>#DIV/0!</v>
          </cell>
        </row>
        <row r="20">
          <cell r="A20">
            <v>18</v>
          </cell>
          <cell r="B20" t="str">
            <v>59721-60M00</v>
          </cell>
          <cell r="C20" t="str">
            <v>BRACKET , WIPER LINK CTR</v>
          </cell>
          <cell r="D20" t="str">
            <v>bending2 (3/4)</v>
          </cell>
          <cell r="I20" t="str">
            <v>bending1 (2/4)</v>
          </cell>
          <cell r="N20" t="str">
            <v>Blank (1/4)</v>
          </cell>
          <cell r="S20" t="str">
            <v>pierc(4/4)</v>
          </cell>
          <cell r="U20">
            <v>2</v>
          </cell>
          <cell r="V20">
            <v>840</v>
          </cell>
          <cell r="W20">
            <v>40</v>
          </cell>
          <cell r="X20" t="str">
            <v>SIM</v>
          </cell>
          <cell r="Y20">
            <v>1</v>
          </cell>
          <cell r="Z20">
            <v>5500</v>
          </cell>
          <cell r="AA20">
            <v>250</v>
          </cell>
          <cell r="AB20">
            <v>520</v>
          </cell>
          <cell r="AC20">
            <v>26</v>
          </cell>
          <cell r="AD20">
            <v>20</v>
          </cell>
          <cell r="AG20">
            <v>250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6.5454545454545459</v>
          </cell>
          <cell r="AM20">
            <v>6.5454545454545459</v>
          </cell>
          <cell r="AN20">
            <v>6.5454545454545459</v>
          </cell>
          <cell r="AO20">
            <v>6.5454545454545459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BD20">
            <v>200.40000000000003</v>
          </cell>
        </row>
        <row r="21">
          <cell r="A21">
            <v>19</v>
          </cell>
          <cell r="B21" t="str">
            <v>63244-60M00</v>
          </cell>
          <cell r="C21" t="str">
            <v>REINF, REAR DOOR HINGE LWR, R</v>
          </cell>
          <cell r="D21" t="str">
            <v>bending2 (3/4)</v>
          </cell>
          <cell r="I21" t="str">
            <v>bending1 (2/4)</v>
          </cell>
          <cell r="N21" t="str">
            <v>Blank (1/4)</v>
          </cell>
          <cell r="S21" t="str">
            <v>pierc(4/4)</v>
          </cell>
          <cell r="U21">
            <v>2</v>
          </cell>
          <cell r="V21">
            <v>840</v>
          </cell>
          <cell r="W21">
            <v>40</v>
          </cell>
          <cell r="X21" t="str">
            <v>SIM</v>
          </cell>
          <cell r="Y21">
            <v>1</v>
          </cell>
          <cell r="Z21">
            <v>5500</v>
          </cell>
          <cell r="AA21">
            <v>250</v>
          </cell>
          <cell r="AB21">
            <v>520</v>
          </cell>
          <cell r="AC21">
            <v>26</v>
          </cell>
          <cell r="AD21">
            <v>20</v>
          </cell>
          <cell r="AG21">
            <v>250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6.5454545454545459</v>
          </cell>
          <cell r="AM21">
            <v>6.5454545454545459</v>
          </cell>
          <cell r="AN21">
            <v>6.5454545454545459</v>
          </cell>
          <cell r="AO21">
            <v>6.5454545454545459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BD21">
            <v>200.40000000000003</v>
          </cell>
        </row>
        <row r="22">
          <cell r="A22">
            <v>20</v>
          </cell>
          <cell r="B22" t="str">
            <v>63644-60M00</v>
          </cell>
          <cell r="C22" t="str">
            <v>REINF, REAR DOOR HINGE LWR, L</v>
          </cell>
          <cell r="D22" t="str">
            <v>bending2 (3/4)</v>
          </cell>
          <cell r="I22" t="str">
            <v>bending1 (2/4)</v>
          </cell>
          <cell r="N22" t="str">
            <v>Blank (1/4)</v>
          </cell>
          <cell r="S22" t="str">
            <v>pierc(4/4)</v>
          </cell>
          <cell r="U22">
            <v>2</v>
          </cell>
          <cell r="V22">
            <v>840</v>
          </cell>
          <cell r="W22">
            <v>40</v>
          </cell>
          <cell r="X22" t="str">
            <v>SIM</v>
          </cell>
          <cell r="Y22">
            <v>1</v>
          </cell>
          <cell r="Z22">
            <v>5500</v>
          </cell>
          <cell r="AA22">
            <v>250</v>
          </cell>
          <cell r="AB22">
            <v>520</v>
          </cell>
          <cell r="AC22">
            <v>26</v>
          </cell>
          <cell r="AD22">
            <v>20</v>
          </cell>
          <cell r="AG22">
            <v>250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6.5454545454545459</v>
          </cell>
          <cell r="AM22">
            <v>6.5454545454545459</v>
          </cell>
          <cell r="AN22">
            <v>6.5454545454545459</v>
          </cell>
          <cell r="AO22">
            <v>6.5454545454545459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BD22">
            <v>200.40000000000003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ผ่อง"/>
      <sheetName val="OD"/>
      <sheetName val="BA"/>
      <sheetName val="BB"/>
      <sheetName val="BC"/>
      <sheetName val="BD"/>
      <sheetName val="BE"/>
      <sheetName val="AA"/>
      <sheetName val="AB"/>
      <sheetName val="AC"/>
      <sheetName val="AD"/>
      <sheetName val="P2"/>
      <sheetName val="P3"/>
      <sheetName val="P8"/>
      <sheetName val="NP9"/>
      <sheetName val="NP10"/>
      <sheetName val="NP11"/>
      <sheetName val="P6"/>
      <sheetName val="P7"/>
      <sheetName val="PT300"/>
      <sheetName val="BL-T@"/>
      <sheetName val="TA1"/>
      <sheetName val="TA2"/>
      <sheetName val="TB1"/>
      <sheetName val="TB2"/>
      <sheetName val="TC1"/>
      <sheetName val="TC2"/>
      <sheetName val="TD1"/>
      <sheetName val="TD2"/>
      <sheetName val="TPS"/>
      <sheetName val="LV"/>
      <sheetName val="G1"/>
      <sheetName val="G2"/>
      <sheetName val="ถังขยะ"/>
      <sheetName val="impove"/>
    </sheetNames>
    <sheetDataSet>
      <sheetData sheetId="0" refreshError="1"/>
      <sheetData sheetId="1">
        <row r="42">
          <cell r="I42">
            <v>2177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14A6-7E72-4B59-A730-B2E15AC20A3F}">
  <sheetPr>
    <tabColor rgb="FFFF9900"/>
  </sheetPr>
  <dimension ref="A1:AJ67"/>
  <sheetViews>
    <sheetView showGridLines="0" tabSelected="1" view="pageBreakPreview" zoomScale="32" zoomScaleNormal="25" zoomScaleSheetLayoutView="32" zoomScalePageLayoutView="35" workbookViewId="0">
      <pane xSplit="4" ySplit="6" topLeftCell="L10" activePane="bottomRight" state="frozen"/>
      <selection activeCell="A3" sqref="A3"/>
      <selection pane="topRight" activeCell="F3" sqref="F3"/>
      <selection pane="bottomLeft" activeCell="A9" sqref="A9"/>
      <selection pane="bottomRight" activeCell="AB11" sqref="AB11"/>
    </sheetView>
  </sheetViews>
  <sheetFormatPr defaultColWidth="9.109375" defaultRowHeight="14.4" x14ac:dyDescent="0.3"/>
  <cols>
    <col min="1" max="1" width="3.33203125" style="1" customWidth="1"/>
    <col min="2" max="2" width="17" style="1" customWidth="1"/>
    <col min="3" max="3" width="42.109375" style="1" customWidth="1"/>
    <col min="4" max="4" width="63.33203125" style="1" customWidth="1"/>
    <col min="5" max="6" width="34.6640625" style="2" customWidth="1"/>
    <col min="7" max="7" width="43.44140625" style="1" customWidth="1"/>
    <col min="8" max="8" width="20.44140625" style="1" customWidth="1"/>
    <col min="9" max="9" width="16.21875" style="1" customWidth="1"/>
    <col min="10" max="10" width="16.5546875" style="1" customWidth="1"/>
    <col min="11" max="12" width="20.6640625" style="1" customWidth="1"/>
    <col min="13" max="13" width="21.5546875" style="1" customWidth="1"/>
    <col min="14" max="14" width="14.5546875" style="1" customWidth="1"/>
    <col min="15" max="15" width="22.33203125" style="1" customWidth="1"/>
    <col min="16" max="18" width="14.5546875" style="1" customWidth="1"/>
    <col min="19" max="19" width="17.88671875" style="1" customWidth="1"/>
    <col min="20" max="20" width="27.88671875" style="1" customWidth="1"/>
    <col min="21" max="22" width="34.6640625" style="2" customWidth="1"/>
    <col min="23" max="23" width="43.44140625" style="1" customWidth="1"/>
    <col min="24" max="24" width="20.44140625" style="1" customWidth="1"/>
    <col min="25" max="25" width="16.21875" style="1" customWidth="1"/>
    <col min="26" max="26" width="16.5546875" style="1" customWidth="1"/>
    <col min="27" max="28" width="20.6640625" style="1" customWidth="1"/>
    <col min="29" max="29" width="21.5546875" style="1" customWidth="1"/>
    <col min="30" max="34" width="14.5546875" style="1" customWidth="1"/>
    <col min="35" max="35" width="17.88671875" style="1" customWidth="1"/>
    <col min="36" max="36" width="27.88671875" style="1" customWidth="1"/>
    <col min="37" max="16384" width="9.109375" style="1"/>
  </cols>
  <sheetData>
    <row r="1" spans="1:36" ht="180" customHeight="1" x14ac:dyDescent="0.65">
      <c r="B1" s="3"/>
      <c r="C1" s="3"/>
      <c r="D1" s="3"/>
      <c r="E1" s="35" t="s">
        <v>20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</row>
    <row r="2" spans="1:36" s="5" customFormat="1" ht="48.75" customHeight="1" x14ac:dyDescent="0.3">
      <c r="A2" s="4"/>
      <c r="B2" s="27" t="s">
        <v>0</v>
      </c>
      <c r="C2" s="28" t="s">
        <v>8</v>
      </c>
      <c r="D2" s="28" t="s">
        <v>1</v>
      </c>
      <c r="E2" s="42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25"/>
      <c r="R2" s="25"/>
      <c r="S2" s="36" t="s">
        <v>12</v>
      </c>
      <c r="T2" s="32" t="s">
        <v>17</v>
      </c>
      <c r="U2" s="42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25"/>
      <c r="AH2" s="25"/>
      <c r="AI2" s="36" t="s">
        <v>12</v>
      </c>
      <c r="AJ2" s="32" t="s">
        <v>17</v>
      </c>
    </row>
    <row r="3" spans="1:36" s="5" customFormat="1" ht="54" customHeight="1" x14ac:dyDescent="0.3">
      <c r="A3" s="4"/>
      <c r="B3" s="27"/>
      <c r="C3" s="29"/>
      <c r="D3" s="29"/>
      <c r="E3" s="44" t="s">
        <v>15</v>
      </c>
      <c r="F3" s="28" t="s">
        <v>16</v>
      </c>
      <c r="G3" s="27" t="s">
        <v>13</v>
      </c>
      <c r="H3" s="39" t="s">
        <v>14</v>
      </c>
      <c r="I3" s="45" t="s">
        <v>9</v>
      </c>
      <c r="J3" s="27" t="s">
        <v>2</v>
      </c>
      <c r="K3" s="27"/>
      <c r="L3" s="27"/>
      <c r="M3" s="27"/>
      <c r="N3" s="31" t="s">
        <v>3</v>
      </c>
      <c r="O3" s="31" t="s">
        <v>10</v>
      </c>
      <c r="P3" s="31" t="s">
        <v>11</v>
      </c>
      <c r="Q3" s="31" t="s">
        <v>21</v>
      </c>
      <c r="R3" s="31" t="s">
        <v>22</v>
      </c>
      <c r="S3" s="37"/>
      <c r="T3" s="33"/>
      <c r="U3" s="44" t="s">
        <v>18</v>
      </c>
      <c r="V3" s="28" t="s">
        <v>19</v>
      </c>
      <c r="W3" s="27" t="s">
        <v>13</v>
      </c>
      <c r="X3" s="39" t="s">
        <v>14</v>
      </c>
      <c r="Y3" s="45" t="s">
        <v>9</v>
      </c>
      <c r="Z3" s="27" t="s">
        <v>2</v>
      </c>
      <c r="AA3" s="27"/>
      <c r="AB3" s="27"/>
      <c r="AC3" s="27"/>
      <c r="AD3" s="31" t="s">
        <v>3</v>
      </c>
      <c r="AE3" s="31" t="s">
        <v>10</v>
      </c>
      <c r="AF3" s="31" t="s">
        <v>11</v>
      </c>
      <c r="AG3" s="31" t="s">
        <v>21</v>
      </c>
      <c r="AH3" s="31" t="s">
        <v>22</v>
      </c>
      <c r="AI3" s="37"/>
      <c r="AJ3" s="33"/>
    </row>
    <row r="4" spans="1:36" s="5" customFormat="1" ht="42.75" customHeight="1" x14ac:dyDescent="0.3">
      <c r="A4" s="4"/>
      <c r="B4" s="27"/>
      <c r="C4" s="29"/>
      <c r="D4" s="29"/>
      <c r="E4" s="44"/>
      <c r="F4" s="29"/>
      <c r="G4" s="27"/>
      <c r="H4" s="40"/>
      <c r="I4" s="46"/>
      <c r="J4" s="31" t="s">
        <v>4</v>
      </c>
      <c r="K4" s="31" t="s">
        <v>5</v>
      </c>
      <c r="L4" s="31" t="s">
        <v>6</v>
      </c>
      <c r="M4" s="31" t="s">
        <v>7</v>
      </c>
      <c r="N4" s="31"/>
      <c r="O4" s="31"/>
      <c r="P4" s="31"/>
      <c r="Q4" s="31"/>
      <c r="R4" s="31"/>
      <c r="S4" s="37"/>
      <c r="T4" s="33"/>
      <c r="U4" s="44"/>
      <c r="V4" s="29"/>
      <c r="W4" s="27"/>
      <c r="X4" s="40"/>
      <c r="Y4" s="46"/>
      <c r="Z4" s="31" t="s">
        <v>4</v>
      </c>
      <c r="AA4" s="31" t="s">
        <v>5</v>
      </c>
      <c r="AB4" s="31" t="s">
        <v>6</v>
      </c>
      <c r="AC4" s="31" t="s">
        <v>7</v>
      </c>
      <c r="AD4" s="31"/>
      <c r="AE4" s="31"/>
      <c r="AF4" s="31"/>
      <c r="AG4" s="31"/>
      <c r="AH4" s="31"/>
      <c r="AI4" s="37"/>
      <c r="AJ4" s="33"/>
    </row>
    <row r="5" spans="1:36" s="5" customFormat="1" ht="99.75" customHeight="1" x14ac:dyDescent="0.3">
      <c r="A5" s="4"/>
      <c r="B5" s="27"/>
      <c r="C5" s="30"/>
      <c r="D5" s="30"/>
      <c r="E5" s="44"/>
      <c r="F5" s="30"/>
      <c r="G5" s="27"/>
      <c r="H5" s="41"/>
      <c r="I5" s="47"/>
      <c r="J5" s="31"/>
      <c r="K5" s="31"/>
      <c r="L5" s="31"/>
      <c r="M5" s="31"/>
      <c r="N5" s="31"/>
      <c r="O5" s="31"/>
      <c r="P5" s="31"/>
      <c r="Q5" s="31"/>
      <c r="R5" s="31"/>
      <c r="S5" s="38"/>
      <c r="T5" s="34"/>
      <c r="U5" s="44"/>
      <c r="V5" s="30"/>
      <c r="W5" s="27"/>
      <c r="X5" s="41"/>
      <c r="Y5" s="47"/>
      <c r="Z5" s="31"/>
      <c r="AA5" s="31"/>
      <c r="AB5" s="31"/>
      <c r="AC5" s="31"/>
      <c r="AD5" s="31"/>
      <c r="AE5" s="31"/>
      <c r="AF5" s="31"/>
      <c r="AG5" s="31"/>
      <c r="AH5" s="31"/>
      <c r="AI5" s="38"/>
      <c r="AJ5" s="34"/>
    </row>
    <row r="6" spans="1:36" s="5" customFormat="1" ht="52.2" customHeight="1" x14ac:dyDescent="0.3">
      <c r="A6" s="4"/>
      <c r="B6" s="6"/>
      <c r="C6" s="7"/>
      <c r="D6" s="7"/>
      <c r="E6" s="21"/>
      <c r="F6" s="8"/>
      <c r="G6" s="8"/>
      <c r="H6" s="10"/>
      <c r="I6" s="8"/>
      <c r="J6" s="9"/>
      <c r="K6" s="9"/>
      <c r="L6" s="9"/>
      <c r="M6" s="9"/>
      <c r="N6" s="9"/>
      <c r="O6" s="9"/>
      <c r="P6" s="9"/>
      <c r="Q6" s="9"/>
      <c r="R6" s="9"/>
      <c r="S6" s="11"/>
      <c r="T6" s="23"/>
      <c r="U6" s="21"/>
      <c r="V6" s="8"/>
      <c r="W6" s="8"/>
      <c r="X6" s="10"/>
      <c r="Y6" s="8"/>
      <c r="Z6" s="9"/>
      <c r="AA6" s="9"/>
      <c r="AB6" s="9"/>
      <c r="AC6" s="9"/>
      <c r="AD6" s="9"/>
      <c r="AE6" s="9"/>
      <c r="AF6" s="9"/>
      <c r="AG6" s="9"/>
      <c r="AH6" s="9"/>
      <c r="AI6" s="11"/>
      <c r="AJ6" s="23"/>
    </row>
    <row r="7" spans="1:36" s="12" customFormat="1" ht="125.1" customHeight="1" x14ac:dyDescent="0.3">
      <c r="B7" s="13">
        <v>1</v>
      </c>
      <c r="C7" s="14"/>
      <c r="D7" s="14"/>
      <c r="E7" s="22"/>
      <c r="F7" s="26"/>
      <c r="G7" s="15"/>
      <c r="H7" s="17"/>
      <c r="I7" s="20">
        <v>7.85</v>
      </c>
      <c r="J7" s="16"/>
      <c r="K7" s="16"/>
      <c r="L7" s="16"/>
      <c r="M7" s="16"/>
      <c r="N7" s="16"/>
      <c r="O7" s="18">
        <f>IF(ISNUMBER(SEARCH("coil", H7)), (J7*K7*N7*I7/1000000)/MAX(1, Q7), IF(ISNUMBER(SEARCH("trapezoid", H7)), (J7*K7*((L7+M7)/2)*I7/1000000)/MAX(1, R7), (J7*K7*L7*I7/1000000)/MAX(1, R7)))</f>
        <v>0</v>
      </c>
      <c r="P7" s="16"/>
      <c r="Q7" s="16"/>
      <c r="R7" s="16"/>
      <c r="S7" s="19">
        <v>20000</v>
      </c>
      <c r="T7" s="24"/>
      <c r="U7" s="22"/>
      <c r="V7" s="26"/>
      <c r="W7" s="15"/>
      <c r="X7" s="17"/>
      <c r="Y7" s="20">
        <v>7.85</v>
      </c>
      <c r="Z7" s="16"/>
      <c r="AA7" s="16"/>
      <c r="AB7" s="16"/>
      <c r="AC7" s="16"/>
      <c r="AD7" s="16"/>
      <c r="AE7" s="18" t="e">
        <f>IF(ISNUMBER(SEARCH("coil", X7)), (Z7*AA7*AD7*Y7/1000000)/AG7, IF(ISNUMBER(SEARCH("trapezoid", X7)), (Z7*AA7*((AB7+AC7)/2)*Y7/1000000)/AH7, (Z7*AA7*AB7*Y7/1000000)/AH7))</f>
        <v>#DIV/0!</v>
      </c>
      <c r="AF7" s="16"/>
      <c r="AG7" s="16"/>
      <c r="AH7" s="16"/>
      <c r="AI7" s="19">
        <v>20000</v>
      </c>
      <c r="AJ7" s="24"/>
    </row>
    <row r="8" spans="1:36" s="12" customFormat="1" ht="125.1" customHeight="1" x14ac:dyDescent="0.3">
      <c r="B8" s="13">
        <v>2</v>
      </c>
      <c r="C8" s="14"/>
      <c r="D8" s="14"/>
      <c r="E8" s="22"/>
      <c r="F8" s="26"/>
      <c r="G8" s="15"/>
      <c r="H8" s="17"/>
      <c r="I8" s="20">
        <v>7.85</v>
      </c>
      <c r="J8" s="16"/>
      <c r="K8" s="16"/>
      <c r="L8" s="16"/>
      <c r="M8" s="16"/>
      <c r="N8" s="16"/>
      <c r="O8" s="18">
        <f t="shared" ref="O8:O67" si="0">IF(ISNUMBER(SEARCH("coil", H8)), (J8*K8*N8*I8/1000000)/MAX(1, Q8), IF(ISNUMBER(SEARCH("trapezoid", H8)), (J8*K8*((L8+M8)/2)*I8/1000000)/MAX(1, R8), (J8*K8*L8*I8/1000000)/MAX(1, R8)))</f>
        <v>0</v>
      </c>
      <c r="P8" s="16"/>
      <c r="Q8" s="16"/>
      <c r="R8" s="16"/>
      <c r="S8" s="19">
        <v>20000</v>
      </c>
      <c r="T8" s="24"/>
      <c r="U8" s="22"/>
      <c r="V8" s="26"/>
      <c r="W8" s="15"/>
      <c r="X8" s="17"/>
      <c r="Y8" s="20">
        <v>7.85</v>
      </c>
      <c r="Z8" s="16"/>
      <c r="AA8" s="16"/>
      <c r="AB8" s="16"/>
      <c r="AC8" s="16"/>
      <c r="AD8" s="16"/>
      <c r="AE8" s="18" t="e">
        <f t="shared" ref="AE8:AE67" si="1">IF(ISNUMBER(SEARCH("coil", X8)), (Z8*AA8*AD8*Y8/1000000)/AG8, IF(ISNUMBER(SEARCH("trapezoid", X8)), (Z8*AA8*((AB8+AC8)/2)*Y8/1000000)/AH8, (Z8*AA8*AB8*Y8/1000000)/AH8))</f>
        <v>#DIV/0!</v>
      </c>
      <c r="AF8" s="16"/>
      <c r="AG8" s="16"/>
      <c r="AH8" s="16"/>
      <c r="AI8" s="19">
        <v>20000</v>
      </c>
      <c r="AJ8" s="24"/>
    </row>
    <row r="9" spans="1:36" s="12" customFormat="1" ht="125.1" customHeight="1" x14ac:dyDescent="0.3">
      <c r="B9" s="13">
        <v>3</v>
      </c>
      <c r="C9" s="14"/>
      <c r="D9" s="14"/>
      <c r="E9" s="22"/>
      <c r="F9" s="26"/>
      <c r="G9" s="15"/>
      <c r="H9" s="17"/>
      <c r="I9" s="20">
        <v>7.85</v>
      </c>
      <c r="J9" s="16"/>
      <c r="K9" s="16"/>
      <c r="L9" s="16"/>
      <c r="M9" s="16"/>
      <c r="N9" s="16"/>
      <c r="O9" s="18">
        <f t="shared" si="0"/>
        <v>0</v>
      </c>
      <c r="P9" s="16"/>
      <c r="Q9" s="16"/>
      <c r="R9" s="16"/>
      <c r="S9" s="19">
        <v>20000</v>
      </c>
      <c r="T9" s="24"/>
      <c r="U9" s="22"/>
      <c r="V9" s="26"/>
      <c r="W9" s="15"/>
      <c r="X9" s="17"/>
      <c r="Y9" s="20">
        <v>7.85</v>
      </c>
      <c r="Z9" s="16"/>
      <c r="AA9" s="16"/>
      <c r="AB9" s="16"/>
      <c r="AC9" s="16"/>
      <c r="AD9" s="16"/>
      <c r="AE9" s="18" t="e">
        <f t="shared" si="1"/>
        <v>#DIV/0!</v>
      </c>
      <c r="AF9" s="16"/>
      <c r="AG9" s="16"/>
      <c r="AH9" s="16"/>
      <c r="AI9" s="19">
        <v>20000</v>
      </c>
      <c r="AJ9" s="24"/>
    </row>
    <row r="10" spans="1:36" s="12" customFormat="1" ht="125.1" customHeight="1" x14ac:dyDescent="0.3">
      <c r="B10" s="13">
        <v>4</v>
      </c>
      <c r="C10" s="14"/>
      <c r="D10" s="14"/>
      <c r="E10" s="22"/>
      <c r="F10" s="26"/>
      <c r="G10" s="15"/>
      <c r="H10" s="17"/>
      <c r="I10" s="20">
        <v>7.85</v>
      </c>
      <c r="J10" s="16"/>
      <c r="K10" s="16"/>
      <c r="L10" s="16"/>
      <c r="M10" s="16"/>
      <c r="N10" s="16"/>
      <c r="O10" s="18">
        <f t="shared" si="0"/>
        <v>0</v>
      </c>
      <c r="P10" s="16"/>
      <c r="Q10" s="16"/>
      <c r="R10" s="16"/>
      <c r="S10" s="19">
        <v>20000</v>
      </c>
      <c r="T10" s="24"/>
      <c r="U10" s="22"/>
      <c r="V10" s="26"/>
      <c r="W10" s="15"/>
      <c r="X10" s="17"/>
      <c r="Y10" s="20">
        <v>7.85</v>
      </c>
      <c r="Z10" s="16"/>
      <c r="AA10" s="16"/>
      <c r="AB10" s="16"/>
      <c r="AC10" s="16"/>
      <c r="AD10" s="16"/>
      <c r="AE10" s="18">
        <f>IF(ISNUMBER(SEARCH("coil", X10)), (Z10*AA10*AD10*Y10/1000000)/MAX(1, AG10), IF(ISNUMBER(SEARCH("trapezoid", X10)), (Z10*AA10*((AB10+AC10)/2)*Y10/1000000)/MAX(1, AH10), (Z10*AA10*AB10*Y10/1000000)/MAX(1, AH10)))</f>
        <v>0</v>
      </c>
      <c r="AF10" s="16"/>
      <c r="AG10" s="16"/>
      <c r="AH10" s="16"/>
      <c r="AI10" s="19">
        <v>20000</v>
      </c>
      <c r="AJ10" s="24"/>
    </row>
    <row r="11" spans="1:36" s="12" customFormat="1" ht="125.1" customHeight="1" x14ac:dyDescent="0.3">
      <c r="B11" s="13">
        <v>5</v>
      </c>
      <c r="C11" s="14"/>
      <c r="D11" s="14"/>
      <c r="E11" s="22"/>
      <c r="F11" s="26"/>
      <c r="G11" s="15"/>
      <c r="H11" s="17"/>
      <c r="I11" s="20">
        <v>7.85</v>
      </c>
      <c r="J11" s="16"/>
      <c r="K11" s="16"/>
      <c r="L11" s="16"/>
      <c r="M11" s="16"/>
      <c r="N11" s="16"/>
      <c r="O11" s="18">
        <f t="shared" si="0"/>
        <v>0</v>
      </c>
      <c r="P11" s="16"/>
      <c r="Q11" s="16"/>
      <c r="R11" s="16"/>
      <c r="S11" s="19">
        <v>20000</v>
      </c>
      <c r="T11" s="24"/>
      <c r="U11" s="22"/>
      <c r="V11" s="26"/>
      <c r="W11" s="15"/>
      <c r="X11" s="17"/>
      <c r="Y11" s="20">
        <v>7.85</v>
      </c>
      <c r="Z11" s="16"/>
      <c r="AA11" s="16"/>
      <c r="AB11" s="16"/>
      <c r="AC11" s="16"/>
      <c r="AD11" s="16"/>
      <c r="AE11" s="18">
        <f t="shared" ref="AE11:AE67" si="2">IF(ISNUMBER(SEARCH("coil", X11)), (Z11*AA11*AD11*Y11/1000000)/MAX(1, AG11), IF(ISNUMBER(SEARCH("trapezoid", X11)), (Z11*AA11*((AB11+AC11)/2)*Y11/1000000)/MAX(1, AH11), (Z11*AA11*AB11*Y11/1000000)/MAX(1, AH11)))</f>
        <v>0</v>
      </c>
      <c r="AF11" s="16"/>
      <c r="AG11" s="16"/>
      <c r="AH11" s="16"/>
      <c r="AI11" s="19">
        <v>20000</v>
      </c>
      <c r="AJ11" s="24"/>
    </row>
    <row r="12" spans="1:36" s="12" customFormat="1" ht="125.1" customHeight="1" x14ac:dyDescent="0.3">
      <c r="B12" s="13">
        <v>6</v>
      </c>
      <c r="C12" s="14"/>
      <c r="D12" s="14"/>
      <c r="E12" s="22"/>
      <c r="F12" s="26"/>
      <c r="G12" s="15"/>
      <c r="H12" s="17"/>
      <c r="I12" s="20">
        <v>7.85</v>
      </c>
      <c r="J12" s="16"/>
      <c r="K12" s="16"/>
      <c r="L12" s="16"/>
      <c r="M12" s="16"/>
      <c r="N12" s="16"/>
      <c r="O12" s="18">
        <f t="shared" si="0"/>
        <v>0</v>
      </c>
      <c r="P12" s="16"/>
      <c r="Q12" s="16"/>
      <c r="R12" s="16"/>
      <c r="S12" s="19">
        <v>20000</v>
      </c>
      <c r="T12" s="24"/>
      <c r="U12" s="22"/>
      <c r="V12" s="26"/>
      <c r="W12" s="15"/>
      <c r="X12" s="17"/>
      <c r="Y12" s="20">
        <v>7.85</v>
      </c>
      <c r="Z12" s="16"/>
      <c r="AA12" s="16"/>
      <c r="AB12" s="16"/>
      <c r="AC12" s="16"/>
      <c r="AD12" s="16"/>
      <c r="AE12" s="18">
        <f t="shared" si="2"/>
        <v>0</v>
      </c>
      <c r="AF12" s="16"/>
      <c r="AG12" s="16"/>
      <c r="AH12" s="16"/>
      <c r="AI12" s="19">
        <v>20000</v>
      </c>
      <c r="AJ12" s="24"/>
    </row>
    <row r="13" spans="1:36" s="12" customFormat="1" ht="125.1" customHeight="1" x14ac:dyDescent="0.3">
      <c r="B13" s="13">
        <v>7</v>
      </c>
      <c r="C13" s="14"/>
      <c r="D13" s="14"/>
      <c r="E13" s="22"/>
      <c r="F13" s="26"/>
      <c r="G13" s="15"/>
      <c r="H13" s="17"/>
      <c r="I13" s="20">
        <v>7.85</v>
      </c>
      <c r="J13" s="16"/>
      <c r="K13" s="16"/>
      <c r="L13" s="16"/>
      <c r="M13" s="16"/>
      <c r="N13" s="16"/>
      <c r="O13" s="18">
        <f t="shared" si="0"/>
        <v>0</v>
      </c>
      <c r="P13" s="16"/>
      <c r="Q13" s="16"/>
      <c r="R13" s="16"/>
      <c r="S13" s="19">
        <v>20000</v>
      </c>
      <c r="T13" s="24"/>
      <c r="U13" s="22"/>
      <c r="V13" s="26"/>
      <c r="W13" s="15"/>
      <c r="X13" s="17"/>
      <c r="Y13" s="20">
        <v>7.85</v>
      </c>
      <c r="Z13" s="16"/>
      <c r="AA13" s="16"/>
      <c r="AB13" s="16"/>
      <c r="AC13" s="16"/>
      <c r="AD13" s="16"/>
      <c r="AE13" s="18">
        <f t="shared" si="2"/>
        <v>0</v>
      </c>
      <c r="AF13" s="16"/>
      <c r="AG13" s="16"/>
      <c r="AH13" s="16"/>
      <c r="AI13" s="19">
        <v>20000</v>
      </c>
      <c r="AJ13" s="24"/>
    </row>
    <row r="14" spans="1:36" s="12" customFormat="1" ht="125.1" customHeight="1" x14ac:dyDescent="0.3">
      <c r="B14" s="13">
        <v>8</v>
      </c>
      <c r="C14" s="14"/>
      <c r="D14" s="14"/>
      <c r="E14" s="22"/>
      <c r="F14" s="26"/>
      <c r="G14" s="15"/>
      <c r="H14" s="17"/>
      <c r="I14" s="20">
        <v>7.85</v>
      </c>
      <c r="J14" s="16"/>
      <c r="K14" s="16"/>
      <c r="L14" s="16"/>
      <c r="M14" s="16"/>
      <c r="N14" s="16"/>
      <c r="O14" s="18">
        <f t="shared" si="0"/>
        <v>0</v>
      </c>
      <c r="P14" s="16"/>
      <c r="Q14" s="16"/>
      <c r="R14" s="16"/>
      <c r="S14" s="19">
        <v>20000</v>
      </c>
      <c r="T14" s="24"/>
      <c r="U14" s="22"/>
      <c r="V14" s="26"/>
      <c r="W14" s="15"/>
      <c r="X14" s="17"/>
      <c r="Y14" s="20">
        <v>7.85</v>
      </c>
      <c r="Z14" s="16"/>
      <c r="AA14" s="16"/>
      <c r="AB14" s="16"/>
      <c r="AC14" s="16"/>
      <c r="AD14" s="16"/>
      <c r="AE14" s="18">
        <f t="shared" si="2"/>
        <v>0</v>
      </c>
      <c r="AF14" s="16"/>
      <c r="AG14" s="16"/>
      <c r="AH14" s="16"/>
      <c r="AI14" s="19">
        <v>20000</v>
      </c>
      <c r="AJ14" s="24"/>
    </row>
    <row r="15" spans="1:36" s="12" customFormat="1" ht="125.1" customHeight="1" x14ac:dyDescent="0.3">
      <c r="B15" s="13">
        <v>9</v>
      </c>
      <c r="C15" s="14"/>
      <c r="D15" s="14"/>
      <c r="E15" s="22"/>
      <c r="F15" s="26"/>
      <c r="G15" s="15"/>
      <c r="H15" s="17"/>
      <c r="I15" s="20">
        <v>7.85</v>
      </c>
      <c r="J15" s="16"/>
      <c r="K15" s="16"/>
      <c r="L15" s="16"/>
      <c r="M15" s="16"/>
      <c r="N15" s="16"/>
      <c r="O15" s="18">
        <f t="shared" si="0"/>
        <v>0</v>
      </c>
      <c r="P15" s="16"/>
      <c r="Q15" s="16"/>
      <c r="R15" s="16"/>
      <c r="S15" s="19">
        <v>20000</v>
      </c>
      <c r="T15" s="24"/>
      <c r="U15" s="22"/>
      <c r="V15" s="26"/>
      <c r="W15" s="15"/>
      <c r="X15" s="17"/>
      <c r="Y15" s="20">
        <v>7.85</v>
      </c>
      <c r="Z15" s="16"/>
      <c r="AA15" s="16"/>
      <c r="AB15" s="16"/>
      <c r="AC15" s="16"/>
      <c r="AD15" s="16"/>
      <c r="AE15" s="18">
        <f t="shared" si="2"/>
        <v>0</v>
      </c>
      <c r="AF15" s="16"/>
      <c r="AG15" s="16"/>
      <c r="AH15" s="16"/>
      <c r="AI15" s="19">
        <v>20000</v>
      </c>
      <c r="AJ15" s="24"/>
    </row>
    <row r="16" spans="1:36" s="12" customFormat="1" ht="125.1" customHeight="1" x14ac:dyDescent="0.3">
      <c r="B16" s="13">
        <v>10</v>
      </c>
      <c r="C16" s="14"/>
      <c r="D16" s="14"/>
      <c r="E16" s="22"/>
      <c r="F16" s="26"/>
      <c r="G16" s="15"/>
      <c r="H16" s="17"/>
      <c r="I16" s="20">
        <v>7.85</v>
      </c>
      <c r="J16" s="16"/>
      <c r="K16" s="16"/>
      <c r="L16" s="16"/>
      <c r="M16" s="16"/>
      <c r="N16" s="16"/>
      <c r="O16" s="18">
        <f t="shared" si="0"/>
        <v>0</v>
      </c>
      <c r="P16" s="16"/>
      <c r="Q16" s="16"/>
      <c r="R16" s="16"/>
      <c r="S16" s="19">
        <v>20000</v>
      </c>
      <c r="T16" s="24"/>
      <c r="U16" s="22"/>
      <c r="V16" s="26"/>
      <c r="W16" s="15"/>
      <c r="X16" s="17"/>
      <c r="Y16" s="20">
        <v>7.85</v>
      </c>
      <c r="Z16" s="16"/>
      <c r="AA16" s="16"/>
      <c r="AB16" s="16"/>
      <c r="AC16" s="16"/>
      <c r="AD16" s="16"/>
      <c r="AE16" s="18">
        <f t="shared" si="2"/>
        <v>0</v>
      </c>
      <c r="AF16" s="16"/>
      <c r="AG16" s="16"/>
      <c r="AH16" s="16"/>
      <c r="AI16" s="19">
        <v>20000</v>
      </c>
      <c r="AJ16" s="24"/>
    </row>
    <row r="17" spans="2:36" s="12" customFormat="1" ht="125.1" customHeight="1" x14ac:dyDescent="0.3">
      <c r="B17" s="13">
        <v>11</v>
      </c>
      <c r="C17" s="14"/>
      <c r="D17" s="14"/>
      <c r="E17" s="22"/>
      <c r="F17" s="26"/>
      <c r="G17" s="15"/>
      <c r="H17" s="17"/>
      <c r="I17" s="20">
        <v>7.85</v>
      </c>
      <c r="J17" s="16"/>
      <c r="K17" s="16"/>
      <c r="L17" s="16"/>
      <c r="M17" s="16"/>
      <c r="N17" s="16"/>
      <c r="O17" s="18">
        <f t="shared" si="0"/>
        <v>0</v>
      </c>
      <c r="P17" s="16"/>
      <c r="Q17" s="16"/>
      <c r="R17" s="16"/>
      <c r="S17" s="19">
        <v>20000</v>
      </c>
      <c r="T17" s="24"/>
      <c r="U17" s="22"/>
      <c r="V17" s="26"/>
      <c r="W17" s="15"/>
      <c r="X17" s="17"/>
      <c r="Y17" s="20">
        <v>7.85</v>
      </c>
      <c r="Z17" s="16"/>
      <c r="AA17" s="16"/>
      <c r="AB17" s="16"/>
      <c r="AC17" s="16"/>
      <c r="AD17" s="16"/>
      <c r="AE17" s="18">
        <f t="shared" si="2"/>
        <v>0</v>
      </c>
      <c r="AF17" s="16"/>
      <c r="AG17" s="16"/>
      <c r="AH17" s="16"/>
      <c r="AI17" s="19">
        <v>20000</v>
      </c>
      <c r="AJ17" s="24"/>
    </row>
    <row r="18" spans="2:36" s="12" customFormat="1" ht="125.1" customHeight="1" x14ac:dyDescent="0.3">
      <c r="B18" s="13">
        <v>12</v>
      </c>
      <c r="C18" s="14"/>
      <c r="D18" s="14"/>
      <c r="E18" s="22"/>
      <c r="F18" s="26"/>
      <c r="G18" s="15"/>
      <c r="H18" s="17"/>
      <c r="I18" s="20">
        <v>7.85</v>
      </c>
      <c r="J18" s="16"/>
      <c r="K18" s="16"/>
      <c r="L18" s="16"/>
      <c r="M18" s="16"/>
      <c r="N18" s="16"/>
      <c r="O18" s="18">
        <f t="shared" si="0"/>
        <v>0</v>
      </c>
      <c r="P18" s="16"/>
      <c r="Q18" s="16"/>
      <c r="R18" s="16"/>
      <c r="S18" s="19">
        <v>20000</v>
      </c>
      <c r="T18" s="24"/>
      <c r="U18" s="22"/>
      <c r="V18" s="26"/>
      <c r="W18" s="15"/>
      <c r="X18" s="17"/>
      <c r="Y18" s="20">
        <v>7.85</v>
      </c>
      <c r="Z18" s="16"/>
      <c r="AA18" s="16"/>
      <c r="AB18" s="16"/>
      <c r="AC18" s="16"/>
      <c r="AD18" s="16"/>
      <c r="AE18" s="18">
        <f t="shared" si="2"/>
        <v>0</v>
      </c>
      <c r="AF18" s="16"/>
      <c r="AG18" s="16"/>
      <c r="AH18" s="16"/>
      <c r="AI18" s="19">
        <v>20000</v>
      </c>
      <c r="AJ18" s="24"/>
    </row>
    <row r="19" spans="2:36" s="12" customFormat="1" ht="125.1" customHeight="1" x14ac:dyDescent="0.3">
      <c r="B19" s="13">
        <v>13</v>
      </c>
      <c r="C19" s="14"/>
      <c r="D19" s="14"/>
      <c r="E19" s="22"/>
      <c r="F19" s="26"/>
      <c r="G19" s="15"/>
      <c r="H19" s="17"/>
      <c r="I19" s="20">
        <v>7.85</v>
      </c>
      <c r="J19" s="16"/>
      <c r="K19" s="16"/>
      <c r="L19" s="16"/>
      <c r="M19" s="16"/>
      <c r="N19" s="16"/>
      <c r="O19" s="18">
        <f t="shared" si="0"/>
        <v>0</v>
      </c>
      <c r="P19" s="16"/>
      <c r="Q19" s="16"/>
      <c r="R19" s="16"/>
      <c r="S19" s="19">
        <v>20000</v>
      </c>
      <c r="T19" s="24"/>
      <c r="U19" s="22"/>
      <c r="V19" s="26"/>
      <c r="W19" s="15"/>
      <c r="X19" s="17"/>
      <c r="Y19" s="20">
        <v>7.85</v>
      </c>
      <c r="Z19" s="16"/>
      <c r="AA19" s="16"/>
      <c r="AB19" s="16"/>
      <c r="AC19" s="16"/>
      <c r="AD19" s="16"/>
      <c r="AE19" s="18">
        <f t="shared" si="2"/>
        <v>0</v>
      </c>
      <c r="AF19" s="16"/>
      <c r="AG19" s="16"/>
      <c r="AH19" s="16"/>
      <c r="AI19" s="19">
        <v>20000</v>
      </c>
      <c r="AJ19" s="24"/>
    </row>
    <row r="20" spans="2:36" s="12" customFormat="1" ht="125.1" customHeight="1" x14ac:dyDescent="0.3">
      <c r="B20" s="13"/>
      <c r="C20" s="14"/>
      <c r="D20" s="14"/>
      <c r="E20" s="22"/>
      <c r="F20" s="26"/>
      <c r="G20" s="15"/>
      <c r="H20" s="17"/>
      <c r="I20" s="20">
        <v>7.85</v>
      </c>
      <c r="J20" s="16"/>
      <c r="K20" s="16"/>
      <c r="L20" s="16"/>
      <c r="M20" s="16"/>
      <c r="N20" s="16"/>
      <c r="O20" s="18">
        <f t="shared" si="0"/>
        <v>0</v>
      </c>
      <c r="P20" s="16"/>
      <c r="Q20" s="16"/>
      <c r="R20" s="16"/>
      <c r="S20" s="19">
        <v>20000</v>
      </c>
      <c r="T20" s="24"/>
      <c r="U20" s="22"/>
      <c r="V20" s="26"/>
      <c r="W20" s="15"/>
      <c r="X20" s="17"/>
      <c r="Y20" s="20">
        <v>7.85</v>
      </c>
      <c r="Z20" s="16"/>
      <c r="AA20" s="16"/>
      <c r="AB20" s="16"/>
      <c r="AC20" s="16"/>
      <c r="AD20" s="16"/>
      <c r="AE20" s="18">
        <f t="shared" si="2"/>
        <v>0</v>
      </c>
      <c r="AF20" s="16"/>
      <c r="AG20" s="16"/>
      <c r="AH20" s="16"/>
      <c r="AI20" s="19">
        <v>20000</v>
      </c>
      <c r="AJ20" s="24"/>
    </row>
    <row r="21" spans="2:36" s="12" customFormat="1" ht="125.1" customHeight="1" x14ac:dyDescent="0.3">
      <c r="B21" s="13">
        <v>14</v>
      </c>
      <c r="C21" s="14"/>
      <c r="D21" s="14"/>
      <c r="E21" s="22"/>
      <c r="F21" s="26"/>
      <c r="G21" s="15"/>
      <c r="H21" s="17"/>
      <c r="I21" s="20">
        <v>7.85</v>
      </c>
      <c r="J21" s="16"/>
      <c r="K21" s="16"/>
      <c r="L21" s="16"/>
      <c r="M21" s="16"/>
      <c r="N21" s="16"/>
      <c r="O21" s="18">
        <f t="shared" si="0"/>
        <v>0</v>
      </c>
      <c r="P21" s="16"/>
      <c r="Q21" s="16"/>
      <c r="R21" s="16"/>
      <c r="S21" s="19">
        <v>20000</v>
      </c>
      <c r="T21" s="24"/>
      <c r="U21" s="22"/>
      <c r="V21" s="26"/>
      <c r="W21" s="15"/>
      <c r="X21" s="17"/>
      <c r="Y21" s="20">
        <v>7.85</v>
      </c>
      <c r="Z21" s="16"/>
      <c r="AA21" s="16"/>
      <c r="AB21" s="16"/>
      <c r="AC21" s="16"/>
      <c r="AD21" s="16"/>
      <c r="AE21" s="18">
        <f t="shared" si="2"/>
        <v>0</v>
      </c>
      <c r="AF21" s="16"/>
      <c r="AG21" s="16"/>
      <c r="AH21" s="16"/>
      <c r="AI21" s="19">
        <v>20000</v>
      </c>
      <c r="AJ21" s="24"/>
    </row>
    <row r="22" spans="2:36" s="12" customFormat="1" ht="125.1" customHeight="1" x14ac:dyDescent="0.3">
      <c r="B22" s="13">
        <v>15</v>
      </c>
      <c r="C22" s="14"/>
      <c r="D22" s="14"/>
      <c r="E22" s="22"/>
      <c r="F22" s="26"/>
      <c r="G22" s="15"/>
      <c r="H22" s="17"/>
      <c r="I22" s="20">
        <v>7.85</v>
      </c>
      <c r="J22" s="16"/>
      <c r="K22" s="16"/>
      <c r="L22" s="16"/>
      <c r="M22" s="16"/>
      <c r="N22" s="16"/>
      <c r="O22" s="18">
        <f t="shared" si="0"/>
        <v>0</v>
      </c>
      <c r="P22" s="16"/>
      <c r="Q22" s="16"/>
      <c r="R22" s="16"/>
      <c r="S22" s="19">
        <v>20000</v>
      </c>
      <c r="T22" s="24"/>
      <c r="U22" s="22"/>
      <c r="V22" s="26"/>
      <c r="W22" s="15"/>
      <c r="X22" s="17"/>
      <c r="Y22" s="20">
        <v>7.85</v>
      </c>
      <c r="Z22" s="16"/>
      <c r="AA22" s="16"/>
      <c r="AB22" s="16"/>
      <c r="AC22" s="16"/>
      <c r="AD22" s="16"/>
      <c r="AE22" s="18">
        <f t="shared" si="2"/>
        <v>0</v>
      </c>
      <c r="AF22" s="16"/>
      <c r="AG22" s="16"/>
      <c r="AH22" s="16"/>
      <c r="AI22" s="19">
        <v>20000</v>
      </c>
      <c r="AJ22" s="24"/>
    </row>
    <row r="23" spans="2:36" s="12" customFormat="1" ht="125.1" customHeight="1" x14ac:dyDescent="0.3">
      <c r="B23" s="13">
        <v>16</v>
      </c>
      <c r="C23" s="14"/>
      <c r="D23" s="14"/>
      <c r="E23" s="22"/>
      <c r="F23" s="26"/>
      <c r="G23" s="15"/>
      <c r="H23" s="17"/>
      <c r="I23" s="20">
        <v>7.85</v>
      </c>
      <c r="J23" s="16"/>
      <c r="K23" s="16"/>
      <c r="L23" s="16"/>
      <c r="M23" s="16"/>
      <c r="N23" s="16"/>
      <c r="O23" s="18">
        <f t="shared" si="0"/>
        <v>0</v>
      </c>
      <c r="P23" s="16"/>
      <c r="Q23" s="16"/>
      <c r="R23" s="16"/>
      <c r="S23" s="19">
        <v>20000</v>
      </c>
      <c r="T23" s="24"/>
      <c r="U23" s="22"/>
      <c r="V23" s="26"/>
      <c r="W23" s="15"/>
      <c r="X23" s="17"/>
      <c r="Y23" s="20">
        <v>7.85</v>
      </c>
      <c r="Z23" s="16"/>
      <c r="AA23" s="16"/>
      <c r="AB23" s="16"/>
      <c r="AC23" s="16"/>
      <c r="AD23" s="16"/>
      <c r="AE23" s="18">
        <f t="shared" si="2"/>
        <v>0</v>
      </c>
      <c r="AF23" s="16"/>
      <c r="AG23" s="16"/>
      <c r="AH23" s="16"/>
      <c r="AI23" s="19">
        <v>20000</v>
      </c>
      <c r="AJ23" s="24"/>
    </row>
    <row r="24" spans="2:36" s="12" customFormat="1" ht="125.1" customHeight="1" x14ac:dyDescent="0.3">
      <c r="B24" s="13">
        <v>17</v>
      </c>
      <c r="C24" s="14"/>
      <c r="D24" s="14"/>
      <c r="E24" s="22"/>
      <c r="F24" s="26"/>
      <c r="G24" s="15"/>
      <c r="H24" s="17"/>
      <c r="I24" s="20">
        <v>7.85</v>
      </c>
      <c r="J24" s="16"/>
      <c r="K24" s="16"/>
      <c r="L24" s="16"/>
      <c r="M24" s="16"/>
      <c r="N24" s="16"/>
      <c r="O24" s="18">
        <f t="shared" si="0"/>
        <v>0</v>
      </c>
      <c r="P24" s="16"/>
      <c r="Q24" s="16"/>
      <c r="R24" s="16"/>
      <c r="S24" s="19">
        <v>20000</v>
      </c>
      <c r="T24" s="24"/>
      <c r="U24" s="22"/>
      <c r="V24" s="26"/>
      <c r="W24" s="15"/>
      <c r="X24" s="17"/>
      <c r="Y24" s="20">
        <v>7.85</v>
      </c>
      <c r="Z24" s="16"/>
      <c r="AA24" s="16"/>
      <c r="AB24" s="16"/>
      <c r="AC24" s="16"/>
      <c r="AD24" s="16"/>
      <c r="AE24" s="18">
        <f t="shared" si="2"/>
        <v>0</v>
      </c>
      <c r="AF24" s="16"/>
      <c r="AG24" s="16"/>
      <c r="AH24" s="16"/>
      <c r="AI24" s="19">
        <v>20000</v>
      </c>
      <c r="AJ24" s="24"/>
    </row>
    <row r="25" spans="2:36" s="12" customFormat="1" ht="125.1" customHeight="1" x14ac:dyDescent="0.3">
      <c r="B25" s="13">
        <v>18</v>
      </c>
      <c r="C25" s="14"/>
      <c r="D25" s="14"/>
      <c r="E25" s="22"/>
      <c r="F25" s="26"/>
      <c r="G25" s="15"/>
      <c r="H25" s="17"/>
      <c r="I25" s="20">
        <v>7.85</v>
      </c>
      <c r="J25" s="16"/>
      <c r="K25" s="16"/>
      <c r="L25" s="16"/>
      <c r="M25" s="16"/>
      <c r="N25" s="16"/>
      <c r="O25" s="18">
        <f t="shared" si="0"/>
        <v>0</v>
      </c>
      <c r="P25" s="16"/>
      <c r="Q25" s="16"/>
      <c r="R25" s="16"/>
      <c r="S25" s="19">
        <v>20000</v>
      </c>
      <c r="T25" s="24"/>
      <c r="U25" s="22"/>
      <c r="V25" s="26"/>
      <c r="W25" s="15"/>
      <c r="X25" s="17"/>
      <c r="Y25" s="20">
        <v>7.85</v>
      </c>
      <c r="Z25" s="16"/>
      <c r="AA25" s="16"/>
      <c r="AB25" s="16"/>
      <c r="AC25" s="16"/>
      <c r="AD25" s="16"/>
      <c r="AE25" s="18">
        <f t="shared" si="2"/>
        <v>0</v>
      </c>
      <c r="AF25" s="16"/>
      <c r="AG25" s="16"/>
      <c r="AH25" s="16"/>
      <c r="AI25" s="19">
        <v>20000</v>
      </c>
      <c r="AJ25" s="24"/>
    </row>
    <row r="26" spans="2:36" s="12" customFormat="1" ht="125.1" customHeight="1" x14ac:dyDescent="0.3">
      <c r="B26" s="13">
        <v>19</v>
      </c>
      <c r="C26" s="14"/>
      <c r="D26" s="14"/>
      <c r="E26" s="22"/>
      <c r="F26" s="26"/>
      <c r="G26" s="15"/>
      <c r="H26" s="17"/>
      <c r="I26" s="20">
        <v>7.85</v>
      </c>
      <c r="J26" s="16"/>
      <c r="K26" s="16"/>
      <c r="L26" s="16"/>
      <c r="M26" s="16"/>
      <c r="N26" s="16"/>
      <c r="O26" s="18">
        <f t="shared" si="0"/>
        <v>0</v>
      </c>
      <c r="P26" s="16"/>
      <c r="Q26" s="16"/>
      <c r="R26" s="16"/>
      <c r="S26" s="19">
        <v>20000</v>
      </c>
      <c r="T26" s="24"/>
      <c r="U26" s="22"/>
      <c r="V26" s="26"/>
      <c r="W26" s="15"/>
      <c r="X26" s="17"/>
      <c r="Y26" s="20">
        <v>7.85</v>
      </c>
      <c r="Z26" s="16"/>
      <c r="AA26" s="16"/>
      <c r="AB26" s="16"/>
      <c r="AC26" s="16"/>
      <c r="AD26" s="16"/>
      <c r="AE26" s="18">
        <f t="shared" si="2"/>
        <v>0</v>
      </c>
      <c r="AF26" s="16"/>
      <c r="AG26" s="16"/>
      <c r="AH26" s="16"/>
      <c r="AI26" s="19">
        <v>20000</v>
      </c>
      <c r="AJ26" s="24"/>
    </row>
    <row r="27" spans="2:36" s="12" customFormat="1" ht="125.1" customHeight="1" x14ac:dyDescent="0.3">
      <c r="B27" s="13">
        <v>20</v>
      </c>
      <c r="C27" s="14"/>
      <c r="D27" s="14"/>
      <c r="E27" s="22"/>
      <c r="F27" s="26"/>
      <c r="G27" s="15"/>
      <c r="H27" s="17"/>
      <c r="I27" s="20">
        <v>7.85</v>
      </c>
      <c r="J27" s="16"/>
      <c r="K27" s="16"/>
      <c r="L27" s="16"/>
      <c r="M27" s="16"/>
      <c r="N27" s="16"/>
      <c r="O27" s="18">
        <f t="shared" si="0"/>
        <v>0</v>
      </c>
      <c r="P27" s="16"/>
      <c r="Q27" s="16"/>
      <c r="R27" s="16"/>
      <c r="S27" s="19">
        <v>20000</v>
      </c>
      <c r="T27" s="24"/>
      <c r="U27" s="22"/>
      <c r="V27" s="26"/>
      <c r="W27" s="15"/>
      <c r="X27" s="17"/>
      <c r="Y27" s="20">
        <v>7.85</v>
      </c>
      <c r="Z27" s="16"/>
      <c r="AA27" s="16"/>
      <c r="AB27" s="16"/>
      <c r="AC27" s="16"/>
      <c r="AD27" s="16"/>
      <c r="AE27" s="18">
        <f t="shared" si="2"/>
        <v>0</v>
      </c>
      <c r="AF27" s="16"/>
      <c r="AG27" s="16"/>
      <c r="AH27" s="16"/>
      <c r="AI27" s="19">
        <v>20000</v>
      </c>
      <c r="AJ27" s="24"/>
    </row>
    <row r="28" spans="2:36" s="12" customFormat="1" ht="125.1" customHeight="1" x14ac:dyDescent="0.3">
      <c r="B28" s="13">
        <v>21</v>
      </c>
      <c r="C28" s="14"/>
      <c r="D28" s="14"/>
      <c r="E28" s="22"/>
      <c r="F28" s="26"/>
      <c r="G28" s="15"/>
      <c r="H28" s="17"/>
      <c r="I28" s="20">
        <v>7.85</v>
      </c>
      <c r="J28" s="16"/>
      <c r="K28" s="16"/>
      <c r="L28" s="16"/>
      <c r="M28" s="16"/>
      <c r="N28" s="16"/>
      <c r="O28" s="18">
        <f t="shared" si="0"/>
        <v>0</v>
      </c>
      <c r="P28" s="16"/>
      <c r="Q28" s="16"/>
      <c r="R28" s="16"/>
      <c r="S28" s="19">
        <v>20000</v>
      </c>
      <c r="T28" s="24"/>
      <c r="U28" s="22"/>
      <c r="V28" s="26"/>
      <c r="W28" s="15"/>
      <c r="X28" s="17"/>
      <c r="Y28" s="20">
        <v>7.85</v>
      </c>
      <c r="Z28" s="16"/>
      <c r="AA28" s="16"/>
      <c r="AB28" s="16"/>
      <c r="AC28" s="16"/>
      <c r="AD28" s="16"/>
      <c r="AE28" s="18">
        <f t="shared" si="2"/>
        <v>0</v>
      </c>
      <c r="AF28" s="16"/>
      <c r="AG28" s="16"/>
      <c r="AH28" s="16"/>
      <c r="AI28" s="19">
        <v>20000</v>
      </c>
      <c r="AJ28" s="24"/>
    </row>
    <row r="29" spans="2:36" s="12" customFormat="1" ht="125.1" customHeight="1" x14ac:dyDescent="0.3">
      <c r="B29" s="13"/>
      <c r="C29" s="14"/>
      <c r="D29" s="14"/>
      <c r="E29" s="22"/>
      <c r="F29" s="26"/>
      <c r="G29" s="15"/>
      <c r="H29" s="17"/>
      <c r="I29" s="20">
        <v>7.85</v>
      </c>
      <c r="J29" s="16"/>
      <c r="K29" s="16"/>
      <c r="L29" s="16"/>
      <c r="M29" s="16"/>
      <c r="N29" s="16"/>
      <c r="O29" s="18">
        <f t="shared" si="0"/>
        <v>0</v>
      </c>
      <c r="P29" s="16"/>
      <c r="Q29" s="16"/>
      <c r="R29" s="16"/>
      <c r="S29" s="19">
        <v>20000</v>
      </c>
      <c r="T29" s="24"/>
      <c r="U29" s="22"/>
      <c r="V29" s="26"/>
      <c r="W29" s="15"/>
      <c r="X29" s="17"/>
      <c r="Y29" s="20">
        <v>7.85</v>
      </c>
      <c r="Z29" s="16"/>
      <c r="AA29" s="16"/>
      <c r="AB29" s="16"/>
      <c r="AC29" s="16"/>
      <c r="AD29" s="16"/>
      <c r="AE29" s="18">
        <f t="shared" si="2"/>
        <v>0</v>
      </c>
      <c r="AF29" s="16"/>
      <c r="AG29" s="16"/>
      <c r="AH29" s="16"/>
      <c r="AI29" s="19">
        <v>20000</v>
      </c>
      <c r="AJ29" s="24"/>
    </row>
    <row r="30" spans="2:36" s="12" customFormat="1" ht="125.1" customHeight="1" x14ac:dyDescent="0.3">
      <c r="B30" s="13">
        <v>22</v>
      </c>
      <c r="C30" s="14"/>
      <c r="D30" s="14"/>
      <c r="E30" s="22"/>
      <c r="F30" s="26"/>
      <c r="G30" s="15"/>
      <c r="H30" s="17"/>
      <c r="I30" s="20">
        <v>7.85</v>
      </c>
      <c r="J30" s="16"/>
      <c r="K30" s="16"/>
      <c r="L30" s="16"/>
      <c r="M30" s="16"/>
      <c r="N30" s="16"/>
      <c r="O30" s="18">
        <f t="shared" si="0"/>
        <v>0</v>
      </c>
      <c r="P30" s="16"/>
      <c r="Q30" s="16"/>
      <c r="R30" s="16"/>
      <c r="S30" s="19">
        <v>20000</v>
      </c>
      <c r="T30" s="24"/>
      <c r="U30" s="22"/>
      <c r="V30" s="26"/>
      <c r="W30" s="15"/>
      <c r="X30" s="17"/>
      <c r="Y30" s="20">
        <v>7.85</v>
      </c>
      <c r="Z30" s="16"/>
      <c r="AA30" s="16"/>
      <c r="AB30" s="16"/>
      <c r="AC30" s="16"/>
      <c r="AD30" s="16"/>
      <c r="AE30" s="18">
        <f t="shared" si="2"/>
        <v>0</v>
      </c>
      <c r="AF30" s="16"/>
      <c r="AG30" s="16"/>
      <c r="AH30" s="16"/>
      <c r="AI30" s="19">
        <v>20000</v>
      </c>
      <c r="AJ30" s="24"/>
    </row>
    <row r="31" spans="2:36" s="12" customFormat="1" ht="125.1" customHeight="1" x14ac:dyDescent="0.3">
      <c r="B31" s="13">
        <v>23</v>
      </c>
      <c r="C31" s="14"/>
      <c r="D31" s="14"/>
      <c r="E31" s="22"/>
      <c r="F31" s="26"/>
      <c r="G31" s="15"/>
      <c r="H31" s="17"/>
      <c r="I31" s="20">
        <v>7.85</v>
      </c>
      <c r="J31" s="16"/>
      <c r="K31" s="16"/>
      <c r="L31" s="16"/>
      <c r="M31" s="16"/>
      <c r="N31" s="16"/>
      <c r="O31" s="18">
        <f t="shared" si="0"/>
        <v>0</v>
      </c>
      <c r="P31" s="16"/>
      <c r="Q31" s="16"/>
      <c r="R31" s="16"/>
      <c r="S31" s="19">
        <v>20000</v>
      </c>
      <c r="T31" s="24"/>
      <c r="U31" s="22"/>
      <c r="V31" s="26"/>
      <c r="W31" s="15"/>
      <c r="X31" s="17"/>
      <c r="Y31" s="20">
        <v>7.85</v>
      </c>
      <c r="Z31" s="16"/>
      <c r="AA31" s="16"/>
      <c r="AB31" s="16"/>
      <c r="AC31" s="16"/>
      <c r="AD31" s="16"/>
      <c r="AE31" s="18">
        <f t="shared" si="2"/>
        <v>0</v>
      </c>
      <c r="AF31" s="16"/>
      <c r="AG31" s="16"/>
      <c r="AH31" s="16"/>
      <c r="AI31" s="19">
        <v>20000</v>
      </c>
      <c r="AJ31" s="24"/>
    </row>
    <row r="32" spans="2:36" s="12" customFormat="1" ht="125.1" customHeight="1" x14ac:dyDescent="0.3">
      <c r="B32" s="13">
        <v>24</v>
      </c>
      <c r="C32" s="14"/>
      <c r="D32" s="14"/>
      <c r="E32" s="22"/>
      <c r="F32" s="26"/>
      <c r="G32" s="15"/>
      <c r="H32" s="17"/>
      <c r="I32" s="20">
        <v>7.85</v>
      </c>
      <c r="J32" s="16"/>
      <c r="K32" s="16"/>
      <c r="L32" s="16"/>
      <c r="M32" s="16"/>
      <c r="N32" s="16"/>
      <c r="O32" s="18">
        <f t="shared" si="0"/>
        <v>0</v>
      </c>
      <c r="P32" s="16"/>
      <c r="Q32" s="16"/>
      <c r="R32" s="16"/>
      <c r="S32" s="19">
        <v>20000</v>
      </c>
      <c r="T32" s="24"/>
      <c r="U32" s="22"/>
      <c r="V32" s="26"/>
      <c r="W32" s="15"/>
      <c r="X32" s="17"/>
      <c r="Y32" s="20">
        <v>7.85</v>
      </c>
      <c r="Z32" s="16"/>
      <c r="AA32" s="16"/>
      <c r="AB32" s="16"/>
      <c r="AC32" s="16"/>
      <c r="AD32" s="16"/>
      <c r="AE32" s="18">
        <f t="shared" si="2"/>
        <v>0</v>
      </c>
      <c r="AF32" s="16"/>
      <c r="AG32" s="16"/>
      <c r="AH32" s="16"/>
      <c r="AI32" s="19">
        <v>20000</v>
      </c>
      <c r="AJ32" s="24"/>
    </row>
    <row r="33" spans="2:36" s="12" customFormat="1" ht="125.1" customHeight="1" x14ac:dyDescent="0.3">
      <c r="B33" s="13">
        <v>25</v>
      </c>
      <c r="C33" s="14"/>
      <c r="D33" s="14"/>
      <c r="E33" s="22"/>
      <c r="F33" s="26"/>
      <c r="G33" s="15"/>
      <c r="H33" s="17"/>
      <c r="I33" s="20">
        <v>7.85</v>
      </c>
      <c r="J33" s="16"/>
      <c r="K33" s="16"/>
      <c r="L33" s="16"/>
      <c r="M33" s="16"/>
      <c r="N33" s="16"/>
      <c r="O33" s="18">
        <f t="shared" si="0"/>
        <v>0</v>
      </c>
      <c r="P33" s="16"/>
      <c r="Q33" s="16"/>
      <c r="R33" s="16"/>
      <c r="S33" s="19">
        <v>20000</v>
      </c>
      <c r="T33" s="24"/>
      <c r="U33" s="22"/>
      <c r="V33" s="26"/>
      <c r="W33" s="15"/>
      <c r="X33" s="17"/>
      <c r="Y33" s="20">
        <v>7.85</v>
      </c>
      <c r="Z33" s="16"/>
      <c r="AA33" s="16"/>
      <c r="AB33" s="16"/>
      <c r="AC33" s="16"/>
      <c r="AD33" s="16"/>
      <c r="AE33" s="18">
        <f t="shared" si="2"/>
        <v>0</v>
      </c>
      <c r="AF33" s="16"/>
      <c r="AG33" s="16"/>
      <c r="AH33" s="16"/>
      <c r="AI33" s="19">
        <v>20000</v>
      </c>
      <c r="AJ33" s="24"/>
    </row>
    <row r="34" spans="2:36" s="12" customFormat="1" ht="125.1" customHeight="1" x14ac:dyDescent="0.3">
      <c r="B34" s="13">
        <v>26</v>
      </c>
      <c r="C34" s="14"/>
      <c r="D34" s="14"/>
      <c r="E34" s="22"/>
      <c r="F34" s="26"/>
      <c r="G34" s="15"/>
      <c r="H34" s="17"/>
      <c r="I34" s="20">
        <v>7.85</v>
      </c>
      <c r="J34" s="16"/>
      <c r="K34" s="16"/>
      <c r="L34" s="16"/>
      <c r="M34" s="16"/>
      <c r="N34" s="16"/>
      <c r="O34" s="18">
        <f t="shared" si="0"/>
        <v>0</v>
      </c>
      <c r="P34" s="16"/>
      <c r="Q34" s="16"/>
      <c r="R34" s="16"/>
      <c r="S34" s="19">
        <v>20000</v>
      </c>
      <c r="T34" s="24"/>
      <c r="U34" s="22"/>
      <c r="V34" s="26"/>
      <c r="W34" s="15"/>
      <c r="X34" s="17"/>
      <c r="Y34" s="20">
        <v>7.85</v>
      </c>
      <c r="Z34" s="16"/>
      <c r="AA34" s="16"/>
      <c r="AB34" s="16"/>
      <c r="AC34" s="16"/>
      <c r="AD34" s="16"/>
      <c r="AE34" s="18">
        <f t="shared" si="2"/>
        <v>0</v>
      </c>
      <c r="AF34" s="16"/>
      <c r="AG34" s="16"/>
      <c r="AH34" s="16"/>
      <c r="AI34" s="19">
        <v>20000</v>
      </c>
      <c r="AJ34" s="24"/>
    </row>
    <row r="35" spans="2:36" s="12" customFormat="1" ht="126.75" customHeight="1" x14ac:dyDescent="0.3">
      <c r="B35" s="13">
        <v>27</v>
      </c>
      <c r="C35" s="14"/>
      <c r="D35" s="14"/>
      <c r="E35" s="22"/>
      <c r="F35" s="26"/>
      <c r="G35" s="15"/>
      <c r="H35" s="17"/>
      <c r="I35" s="20">
        <v>7.85</v>
      </c>
      <c r="J35" s="16"/>
      <c r="K35" s="16"/>
      <c r="L35" s="16"/>
      <c r="M35" s="16"/>
      <c r="N35" s="16"/>
      <c r="O35" s="18">
        <f t="shared" si="0"/>
        <v>0</v>
      </c>
      <c r="P35" s="16"/>
      <c r="Q35" s="16"/>
      <c r="R35" s="16"/>
      <c r="S35" s="19">
        <v>20000</v>
      </c>
      <c r="T35" s="24"/>
      <c r="U35" s="22"/>
      <c r="V35" s="26"/>
      <c r="W35" s="15"/>
      <c r="X35" s="17"/>
      <c r="Y35" s="20">
        <v>7.85</v>
      </c>
      <c r="Z35" s="16"/>
      <c r="AA35" s="16"/>
      <c r="AB35" s="16"/>
      <c r="AC35" s="16"/>
      <c r="AD35" s="16"/>
      <c r="AE35" s="18">
        <f t="shared" si="2"/>
        <v>0</v>
      </c>
      <c r="AF35" s="16"/>
      <c r="AG35" s="16"/>
      <c r="AH35" s="16"/>
      <c r="AI35" s="19">
        <v>20000</v>
      </c>
      <c r="AJ35" s="24"/>
    </row>
    <row r="36" spans="2:36" s="12" customFormat="1" ht="125.1" customHeight="1" x14ac:dyDescent="0.3">
      <c r="B36" s="13">
        <v>28</v>
      </c>
      <c r="C36" s="14"/>
      <c r="D36" s="14"/>
      <c r="E36" s="22"/>
      <c r="F36" s="26"/>
      <c r="G36" s="15"/>
      <c r="H36" s="17"/>
      <c r="I36" s="20">
        <v>7.85</v>
      </c>
      <c r="J36" s="16"/>
      <c r="K36" s="16"/>
      <c r="L36" s="16"/>
      <c r="M36" s="16"/>
      <c r="N36" s="16"/>
      <c r="O36" s="18">
        <f t="shared" si="0"/>
        <v>0</v>
      </c>
      <c r="P36" s="16"/>
      <c r="Q36" s="16"/>
      <c r="R36" s="16"/>
      <c r="S36" s="19">
        <v>20000</v>
      </c>
      <c r="T36" s="24"/>
      <c r="U36" s="22"/>
      <c r="V36" s="26"/>
      <c r="W36" s="15"/>
      <c r="X36" s="17"/>
      <c r="Y36" s="20">
        <v>7.85</v>
      </c>
      <c r="Z36" s="16"/>
      <c r="AA36" s="16"/>
      <c r="AB36" s="16"/>
      <c r="AC36" s="16"/>
      <c r="AD36" s="16"/>
      <c r="AE36" s="18">
        <f t="shared" si="2"/>
        <v>0</v>
      </c>
      <c r="AF36" s="16"/>
      <c r="AG36" s="16"/>
      <c r="AH36" s="16"/>
      <c r="AI36" s="19">
        <v>20000</v>
      </c>
      <c r="AJ36" s="24"/>
    </row>
    <row r="37" spans="2:36" s="12" customFormat="1" ht="125.1" customHeight="1" x14ac:dyDescent="0.3">
      <c r="B37" s="13">
        <v>29</v>
      </c>
      <c r="C37" s="14"/>
      <c r="D37" s="14"/>
      <c r="E37" s="22"/>
      <c r="F37" s="26"/>
      <c r="G37" s="15"/>
      <c r="H37" s="17"/>
      <c r="I37" s="20">
        <v>7.85</v>
      </c>
      <c r="J37" s="16"/>
      <c r="K37" s="16"/>
      <c r="L37" s="16"/>
      <c r="M37" s="16"/>
      <c r="N37" s="16"/>
      <c r="O37" s="18">
        <f t="shared" si="0"/>
        <v>0</v>
      </c>
      <c r="P37" s="16"/>
      <c r="Q37" s="16"/>
      <c r="R37" s="16"/>
      <c r="S37" s="19">
        <v>20000</v>
      </c>
      <c r="T37" s="24"/>
      <c r="U37" s="22"/>
      <c r="V37" s="26"/>
      <c r="W37" s="15"/>
      <c r="X37" s="17"/>
      <c r="Y37" s="20">
        <v>7.85</v>
      </c>
      <c r="Z37" s="16"/>
      <c r="AA37" s="16"/>
      <c r="AB37" s="16"/>
      <c r="AC37" s="16"/>
      <c r="AD37" s="16"/>
      <c r="AE37" s="18">
        <f t="shared" si="2"/>
        <v>0</v>
      </c>
      <c r="AF37" s="16"/>
      <c r="AG37" s="16"/>
      <c r="AH37" s="16"/>
      <c r="AI37" s="19">
        <v>20000</v>
      </c>
      <c r="AJ37" s="24"/>
    </row>
    <row r="38" spans="2:36" s="12" customFormat="1" ht="125.1" customHeight="1" x14ac:dyDescent="0.3">
      <c r="B38" s="13">
        <v>30</v>
      </c>
      <c r="C38" s="14"/>
      <c r="D38" s="14"/>
      <c r="E38" s="22"/>
      <c r="F38" s="26"/>
      <c r="G38" s="15"/>
      <c r="H38" s="17"/>
      <c r="I38" s="20">
        <v>7.85</v>
      </c>
      <c r="J38" s="16"/>
      <c r="K38" s="16"/>
      <c r="L38" s="16"/>
      <c r="M38" s="16"/>
      <c r="N38" s="16"/>
      <c r="O38" s="18">
        <f t="shared" si="0"/>
        <v>0</v>
      </c>
      <c r="P38" s="16"/>
      <c r="Q38" s="16"/>
      <c r="R38" s="16"/>
      <c r="S38" s="19">
        <v>20000</v>
      </c>
      <c r="T38" s="24"/>
      <c r="U38" s="22"/>
      <c r="V38" s="26"/>
      <c r="W38" s="15"/>
      <c r="X38" s="17"/>
      <c r="Y38" s="20">
        <v>7.85</v>
      </c>
      <c r="Z38" s="16"/>
      <c r="AA38" s="16"/>
      <c r="AB38" s="16"/>
      <c r="AC38" s="16"/>
      <c r="AD38" s="16"/>
      <c r="AE38" s="18">
        <f t="shared" si="2"/>
        <v>0</v>
      </c>
      <c r="AF38" s="16"/>
      <c r="AG38" s="16"/>
      <c r="AH38" s="16"/>
      <c r="AI38" s="19">
        <v>20000</v>
      </c>
      <c r="AJ38" s="24"/>
    </row>
    <row r="39" spans="2:36" s="12" customFormat="1" ht="125.1" customHeight="1" x14ac:dyDescent="0.3">
      <c r="B39" s="13">
        <v>31</v>
      </c>
      <c r="C39" s="14"/>
      <c r="D39" s="14"/>
      <c r="E39" s="22"/>
      <c r="F39" s="26"/>
      <c r="G39" s="15"/>
      <c r="H39" s="17"/>
      <c r="I39" s="20">
        <v>7.85</v>
      </c>
      <c r="J39" s="16"/>
      <c r="K39" s="16"/>
      <c r="L39" s="16"/>
      <c r="M39" s="16"/>
      <c r="N39" s="16"/>
      <c r="O39" s="18">
        <f t="shared" si="0"/>
        <v>0</v>
      </c>
      <c r="P39" s="16"/>
      <c r="Q39" s="16"/>
      <c r="R39" s="16"/>
      <c r="S39" s="19">
        <v>20000</v>
      </c>
      <c r="T39" s="24"/>
      <c r="U39" s="22"/>
      <c r="V39" s="26"/>
      <c r="W39" s="15"/>
      <c r="X39" s="17"/>
      <c r="Y39" s="20">
        <v>7.85</v>
      </c>
      <c r="Z39" s="16"/>
      <c r="AA39" s="16"/>
      <c r="AB39" s="16"/>
      <c r="AC39" s="16"/>
      <c r="AD39" s="16"/>
      <c r="AE39" s="18">
        <f t="shared" si="2"/>
        <v>0</v>
      </c>
      <c r="AF39" s="16"/>
      <c r="AG39" s="16"/>
      <c r="AH39" s="16"/>
      <c r="AI39" s="19">
        <v>20000</v>
      </c>
      <c r="AJ39" s="24"/>
    </row>
    <row r="40" spans="2:36" s="12" customFormat="1" ht="124.5" customHeight="1" x14ac:dyDescent="0.3">
      <c r="B40" s="13">
        <v>32</v>
      </c>
      <c r="C40" s="14"/>
      <c r="D40" s="14"/>
      <c r="E40" s="22"/>
      <c r="F40" s="26"/>
      <c r="G40" s="15"/>
      <c r="H40" s="17"/>
      <c r="I40" s="20">
        <v>7.85</v>
      </c>
      <c r="J40" s="16"/>
      <c r="K40" s="16"/>
      <c r="L40" s="16"/>
      <c r="M40" s="16"/>
      <c r="N40" s="16"/>
      <c r="O40" s="18">
        <f t="shared" si="0"/>
        <v>0</v>
      </c>
      <c r="P40" s="16"/>
      <c r="Q40" s="16"/>
      <c r="R40" s="16"/>
      <c r="S40" s="19">
        <v>20000</v>
      </c>
      <c r="T40" s="24"/>
      <c r="U40" s="22"/>
      <c r="V40" s="26"/>
      <c r="W40" s="15"/>
      <c r="X40" s="17"/>
      <c r="Y40" s="20">
        <v>7.85</v>
      </c>
      <c r="Z40" s="16"/>
      <c r="AA40" s="16"/>
      <c r="AB40" s="16"/>
      <c r="AC40" s="16"/>
      <c r="AD40" s="16"/>
      <c r="AE40" s="18">
        <f t="shared" si="2"/>
        <v>0</v>
      </c>
      <c r="AF40" s="16"/>
      <c r="AG40" s="16"/>
      <c r="AH40" s="16"/>
      <c r="AI40" s="19">
        <v>20000</v>
      </c>
      <c r="AJ40" s="24"/>
    </row>
    <row r="41" spans="2:36" s="12" customFormat="1" ht="125.1" customHeight="1" x14ac:dyDescent="0.3">
      <c r="B41" s="13">
        <v>33</v>
      </c>
      <c r="C41" s="14"/>
      <c r="D41" s="14"/>
      <c r="E41" s="22"/>
      <c r="F41" s="26"/>
      <c r="G41" s="15"/>
      <c r="H41" s="17"/>
      <c r="I41" s="20">
        <v>7.85</v>
      </c>
      <c r="J41" s="16"/>
      <c r="K41" s="16"/>
      <c r="L41" s="16"/>
      <c r="M41" s="16"/>
      <c r="N41" s="16"/>
      <c r="O41" s="18">
        <f t="shared" si="0"/>
        <v>0</v>
      </c>
      <c r="P41" s="16"/>
      <c r="Q41" s="16"/>
      <c r="R41" s="16"/>
      <c r="S41" s="19">
        <v>20000</v>
      </c>
      <c r="T41" s="24"/>
      <c r="U41" s="22"/>
      <c r="V41" s="26"/>
      <c r="W41" s="15"/>
      <c r="X41" s="17"/>
      <c r="Y41" s="20">
        <v>7.85</v>
      </c>
      <c r="Z41" s="16"/>
      <c r="AA41" s="16"/>
      <c r="AB41" s="16"/>
      <c r="AC41" s="16"/>
      <c r="AD41" s="16"/>
      <c r="AE41" s="18">
        <f t="shared" si="2"/>
        <v>0</v>
      </c>
      <c r="AF41" s="16"/>
      <c r="AG41" s="16"/>
      <c r="AH41" s="16"/>
      <c r="AI41" s="19">
        <v>20000</v>
      </c>
      <c r="AJ41" s="24"/>
    </row>
    <row r="42" spans="2:36" s="12" customFormat="1" ht="125.1" customHeight="1" x14ac:dyDescent="0.3">
      <c r="B42" s="13">
        <v>34</v>
      </c>
      <c r="C42" s="14"/>
      <c r="D42" s="14"/>
      <c r="E42" s="22"/>
      <c r="F42" s="26"/>
      <c r="G42" s="15"/>
      <c r="H42" s="17"/>
      <c r="I42" s="20">
        <v>7.85</v>
      </c>
      <c r="J42" s="16"/>
      <c r="K42" s="16"/>
      <c r="L42" s="16"/>
      <c r="M42" s="16"/>
      <c r="N42" s="16"/>
      <c r="O42" s="18">
        <f t="shared" si="0"/>
        <v>0</v>
      </c>
      <c r="P42" s="16"/>
      <c r="Q42" s="16"/>
      <c r="R42" s="16"/>
      <c r="S42" s="19">
        <v>20000</v>
      </c>
      <c r="T42" s="24"/>
      <c r="U42" s="22"/>
      <c r="V42" s="26"/>
      <c r="W42" s="15"/>
      <c r="X42" s="17"/>
      <c r="Y42" s="20">
        <v>7.85</v>
      </c>
      <c r="Z42" s="16"/>
      <c r="AA42" s="16"/>
      <c r="AB42" s="16"/>
      <c r="AC42" s="16"/>
      <c r="AD42" s="16"/>
      <c r="AE42" s="18">
        <f t="shared" si="2"/>
        <v>0</v>
      </c>
      <c r="AF42" s="16"/>
      <c r="AG42" s="16"/>
      <c r="AH42" s="16"/>
      <c r="AI42" s="19">
        <v>20000</v>
      </c>
      <c r="AJ42" s="24"/>
    </row>
    <row r="43" spans="2:36" s="12" customFormat="1" ht="125.1" customHeight="1" x14ac:dyDescent="0.3">
      <c r="B43" s="13">
        <v>35</v>
      </c>
      <c r="C43" s="14"/>
      <c r="D43" s="14"/>
      <c r="E43" s="22"/>
      <c r="F43" s="26"/>
      <c r="G43" s="15"/>
      <c r="H43" s="17"/>
      <c r="I43" s="20">
        <v>7.85</v>
      </c>
      <c r="J43" s="16"/>
      <c r="K43" s="16"/>
      <c r="L43" s="16"/>
      <c r="M43" s="16"/>
      <c r="N43" s="16"/>
      <c r="O43" s="18">
        <f t="shared" si="0"/>
        <v>0</v>
      </c>
      <c r="P43" s="16"/>
      <c r="Q43" s="16"/>
      <c r="R43" s="16"/>
      <c r="S43" s="19">
        <v>20000</v>
      </c>
      <c r="T43" s="24"/>
      <c r="U43" s="22"/>
      <c r="V43" s="26"/>
      <c r="W43" s="15"/>
      <c r="X43" s="17"/>
      <c r="Y43" s="20">
        <v>7.85</v>
      </c>
      <c r="Z43" s="16"/>
      <c r="AA43" s="16"/>
      <c r="AB43" s="16"/>
      <c r="AC43" s="16"/>
      <c r="AD43" s="16"/>
      <c r="AE43" s="18">
        <f t="shared" si="2"/>
        <v>0</v>
      </c>
      <c r="AF43" s="16"/>
      <c r="AG43" s="16"/>
      <c r="AH43" s="16"/>
      <c r="AI43" s="19">
        <v>20000</v>
      </c>
      <c r="AJ43" s="24"/>
    </row>
    <row r="44" spans="2:36" s="12" customFormat="1" ht="125.1" customHeight="1" x14ac:dyDescent="0.3">
      <c r="B44" s="13">
        <v>36</v>
      </c>
      <c r="C44" s="14"/>
      <c r="D44" s="14"/>
      <c r="E44" s="22"/>
      <c r="F44" s="26"/>
      <c r="G44" s="15"/>
      <c r="H44" s="17"/>
      <c r="I44" s="20">
        <v>7.85</v>
      </c>
      <c r="J44" s="16"/>
      <c r="K44" s="16"/>
      <c r="L44" s="16"/>
      <c r="M44" s="16"/>
      <c r="N44" s="16"/>
      <c r="O44" s="18">
        <f t="shared" si="0"/>
        <v>0</v>
      </c>
      <c r="P44" s="16"/>
      <c r="Q44" s="16"/>
      <c r="R44" s="16"/>
      <c r="S44" s="19">
        <v>20000</v>
      </c>
      <c r="T44" s="24"/>
      <c r="U44" s="22"/>
      <c r="V44" s="26"/>
      <c r="W44" s="15"/>
      <c r="X44" s="17"/>
      <c r="Y44" s="20">
        <v>7.85</v>
      </c>
      <c r="Z44" s="16"/>
      <c r="AA44" s="16"/>
      <c r="AB44" s="16"/>
      <c r="AC44" s="16"/>
      <c r="AD44" s="16"/>
      <c r="AE44" s="18">
        <f t="shared" si="2"/>
        <v>0</v>
      </c>
      <c r="AF44" s="16"/>
      <c r="AG44" s="16"/>
      <c r="AH44" s="16"/>
      <c r="AI44" s="19">
        <v>20000</v>
      </c>
      <c r="AJ44" s="24"/>
    </row>
    <row r="45" spans="2:36" s="12" customFormat="1" ht="125.1" customHeight="1" x14ac:dyDescent="0.3">
      <c r="B45" s="13">
        <v>37</v>
      </c>
      <c r="C45" s="14"/>
      <c r="D45" s="14"/>
      <c r="E45" s="22"/>
      <c r="F45" s="26"/>
      <c r="G45" s="15"/>
      <c r="H45" s="17"/>
      <c r="I45" s="20">
        <v>7.85</v>
      </c>
      <c r="J45" s="16"/>
      <c r="K45" s="16"/>
      <c r="L45" s="16"/>
      <c r="M45" s="16"/>
      <c r="N45" s="16"/>
      <c r="O45" s="18">
        <f t="shared" si="0"/>
        <v>0</v>
      </c>
      <c r="P45" s="16"/>
      <c r="Q45" s="16"/>
      <c r="R45" s="16"/>
      <c r="S45" s="19">
        <v>20000</v>
      </c>
      <c r="T45" s="24"/>
      <c r="U45" s="22"/>
      <c r="V45" s="26"/>
      <c r="W45" s="15"/>
      <c r="X45" s="17"/>
      <c r="Y45" s="20">
        <v>7.85</v>
      </c>
      <c r="Z45" s="16"/>
      <c r="AA45" s="16"/>
      <c r="AB45" s="16"/>
      <c r="AC45" s="16"/>
      <c r="AD45" s="16"/>
      <c r="AE45" s="18">
        <f t="shared" si="2"/>
        <v>0</v>
      </c>
      <c r="AF45" s="16"/>
      <c r="AG45" s="16"/>
      <c r="AH45" s="16"/>
      <c r="AI45" s="19">
        <v>20000</v>
      </c>
      <c r="AJ45" s="24"/>
    </row>
    <row r="46" spans="2:36" s="12" customFormat="1" ht="125.1" customHeight="1" x14ac:dyDescent="0.3">
      <c r="B46" s="13">
        <v>38</v>
      </c>
      <c r="C46" s="14"/>
      <c r="D46" s="14"/>
      <c r="E46" s="22"/>
      <c r="F46" s="26"/>
      <c r="G46" s="15"/>
      <c r="H46" s="17"/>
      <c r="I46" s="20">
        <v>7.85</v>
      </c>
      <c r="J46" s="16"/>
      <c r="K46" s="16"/>
      <c r="L46" s="16"/>
      <c r="M46" s="16"/>
      <c r="N46" s="16"/>
      <c r="O46" s="18">
        <f t="shared" si="0"/>
        <v>0</v>
      </c>
      <c r="P46" s="16"/>
      <c r="Q46" s="16"/>
      <c r="R46" s="16"/>
      <c r="S46" s="19">
        <v>20000</v>
      </c>
      <c r="T46" s="24"/>
      <c r="U46" s="22"/>
      <c r="V46" s="26"/>
      <c r="W46" s="15"/>
      <c r="X46" s="17"/>
      <c r="Y46" s="20">
        <v>7.85</v>
      </c>
      <c r="Z46" s="16"/>
      <c r="AA46" s="16"/>
      <c r="AB46" s="16"/>
      <c r="AC46" s="16"/>
      <c r="AD46" s="16"/>
      <c r="AE46" s="18">
        <f t="shared" si="2"/>
        <v>0</v>
      </c>
      <c r="AF46" s="16"/>
      <c r="AG46" s="16"/>
      <c r="AH46" s="16"/>
      <c r="AI46" s="19">
        <v>20000</v>
      </c>
      <c r="AJ46" s="24"/>
    </row>
    <row r="47" spans="2:36" s="12" customFormat="1" ht="125.1" customHeight="1" x14ac:dyDescent="0.3">
      <c r="B47" s="13">
        <v>39</v>
      </c>
      <c r="C47" s="14"/>
      <c r="D47" s="14"/>
      <c r="E47" s="22"/>
      <c r="F47" s="26"/>
      <c r="G47" s="15"/>
      <c r="H47" s="17"/>
      <c r="I47" s="20">
        <v>7.85</v>
      </c>
      <c r="J47" s="16"/>
      <c r="K47" s="16"/>
      <c r="L47" s="16"/>
      <c r="M47" s="16"/>
      <c r="N47" s="16"/>
      <c r="O47" s="18">
        <f t="shared" si="0"/>
        <v>0</v>
      </c>
      <c r="P47" s="16"/>
      <c r="Q47" s="16"/>
      <c r="R47" s="16"/>
      <c r="S47" s="19">
        <v>20000</v>
      </c>
      <c r="T47" s="24"/>
      <c r="U47" s="22"/>
      <c r="V47" s="26"/>
      <c r="W47" s="15"/>
      <c r="X47" s="17"/>
      <c r="Y47" s="20">
        <v>7.85</v>
      </c>
      <c r="Z47" s="16"/>
      <c r="AA47" s="16"/>
      <c r="AB47" s="16"/>
      <c r="AC47" s="16"/>
      <c r="AD47" s="16"/>
      <c r="AE47" s="18">
        <f t="shared" si="2"/>
        <v>0</v>
      </c>
      <c r="AF47" s="16"/>
      <c r="AG47" s="16"/>
      <c r="AH47" s="16"/>
      <c r="AI47" s="19">
        <v>20000</v>
      </c>
      <c r="AJ47" s="24"/>
    </row>
    <row r="48" spans="2:36" s="12" customFormat="1" ht="124.5" customHeight="1" x14ac:dyDescent="0.3">
      <c r="B48" s="13">
        <v>40</v>
      </c>
      <c r="C48" s="14"/>
      <c r="D48" s="14"/>
      <c r="E48" s="22"/>
      <c r="F48" s="26"/>
      <c r="G48" s="15"/>
      <c r="H48" s="17"/>
      <c r="I48" s="20">
        <v>7.85</v>
      </c>
      <c r="J48" s="16"/>
      <c r="K48" s="16"/>
      <c r="L48" s="16"/>
      <c r="M48" s="16"/>
      <c r="N48" s="16"/>
      <c r="O48" s="18">
        <f t="shared" si="0"/>
        <v>0</v>
      </c>
      <c r="P48" s="16"/>
      <c r="Q48" s="16"/>
      <c r="R48" s="16"/>
      <c r="S48" s="19">
        <v>20000</v>
      </c>
      <c r="T48" s="24"/>
      <c r="U48" s="22"/>
      <c r="V48" s="26"/>
      <c r="W48" s="15"/>
      <c r="X48" s="17"/>
      <c r="Y48" s="20">
        <v>7.85</v>
      </c>
      <c r="Z48" s="16"/>
      <c r="AA48" s="16"/>
      <c r="AB48" s="16"/>
      <c r="AC48" s="16"/>
      <c r="AD48" s="16"/>
      <c r="AE48" s="18">
        <f t="shared" si="2"/>
        <v>0</v>
      </c>
      <c r="AF48" s="16"/>
      <c r="AG48" s="16"/>
      <c r="AH48" s="16"/>
      <c r="AI48" s="19">
        <v>20000</v>
      </c>
      <c r="AJ48" s="24"/>
    </row>
    <row r="49" spans="2:36" s="12" customFormat="1" ht="125.1" customHeight="1" x14ac:dyDescent="0.3">
      <c r="B49" s="13">
        <v>41</v>
      </c>
      <c r="C49" s="14"/>
      <c r="D49" s="14"/>
      <c r="E49" s="22"/>
      <c r="F49" s="26"/>
      <c r="G49" s="15"/>
      <c r="H49" s="17"/>
      <c r="I49" s="20">
        <v>7.85</v>
      </c>
      <c r="J49" s="16"/>
      <c r="K49" s="16"/>
      <c r="L49" s="16"/>
      <c r="M49" s="16"/>
      <c r="N49" s="16"/>
      <c r="O49" s="18">
        <f t="shared" si="0"/>
        <v>0</v>
      </c>
      <c r="P49" s="16"/>
      <c r="Q49" s="16"/>
      <c r="R49" s="16"/>
      <c r="S49" s="19">
        <v>20000</v>
      </c>
      <c r="T49" s="24"/>
      <c r="U49" s="22"/>
      <c r="V49" s="26"/>
      <c r="W49" s="15"/>
      <c r="X49" s="17"/>
      <c r="Y49" s="20">
        <v>7.85</v>
      </c>
      <c r="Z49" s="16"/>
      <c r="AA49" s="16"/>
      <c r="AB49" s="16"/>
      <c r="AC49" s="16"/>
      <c r="AD49" s="16"/>
      <c r="AE49" s="18">
        <f t="shared" si="2"/>
        <v>0</v>
      </c>
      <c r="AF49" s="16"/>
      <c r="AG49" s="16"/>
      <c r="AH49" s="16"/>
      <c r="AI49" s="19">
        <v>20000</v>
      </c>
      <c r="AJ49" s="24"/>
    </row>
    <row r="50" spans="2:36" s="12" customFormat="1" ht="125.1" customHeight="1" x14ac:dyDescent="0.3">
      <c r="B50" s="13">
        <v>42</v>
      </c>
      <c r="C50" s="14"/>
      <c r="D50" s="14"/>
      <c r="E50" s="22"/>
      <c r="F50" s="26"/>
      <c r="G50" s="15"/>
      <c r="H50" s="17"/>
      <c r="I50" s="20">
        <v>7.85</v>
      </c>
      <c r="J50" s="16"/>
      <c r="K50" s="16"/>
      <c r="L50" s="16"/>
      <c r="M50" s="16"/>
      <c r="N50" s="16"/>
      <c r="O50" s="18">
        <f t="shared" si="0"/>
        <v>0</v>
      </c>
      <c r="P50" s="16"/>
      <c r="Q50" s="16"/>
      <c r="R50" s="16"/>
      <c r="S50" s="19">
        <v>20000</v>
      </c>
      <c r="T50" s="24"/>
      <c r="U50" s="22"/>
      <c r="V50" s="26"/>
      <c r="W50" s="15"/>
      <c r="X50" s="17"/>
      <c r="Y50" s="20">
        <v>7.85</v>
      </c>
      <c r="Z50" s="16"/>
      <c r="AA50" s="16"/>
      <c r="AB50" s="16"/>
      <c r="AC50" s="16"/>
      <c r="AD50" s="16"/>
      <c r="AE50" s="18">
        <f t="shared" si="2"/>
        <v>0</v>
      </c>
      <c r="AF50" s="16"/>
      <c r="AG50" s="16"/>
      <c r="AH50" s="16"/>
      <c r="AI50" s="19">
        <v>20000</v>
      </c>
      <c r="AJ50" s="24"/>
    </row>
    <row r="51" spans="2:36" s="12" customFormat="1" ht="125.1" customHeight="1" x14ac:dyDescent="0.3">
      <c r="B51" s="13">
        <v>43</v>
      </c>
      <c r="C51" s="14"/>
      <c r="D51" s="14"/>
      <c r="E51" s="22"/>
      <c r="F51" s="26"/>
      <c r="G51" s="15"/>
      <c r="H51" s="17"/>
      <c r="I51" s="20">
        <v>7.85</v>
      </c>
      <c r="J51" s="16"/>
      <c r="K51" s="16"/>
      <c r="L51" s="16"/>
      <c r="M51" s="16"/>
      <c r="N51" s="16"/>
      <c r="O51" s="18">
        <f t="shared" si="0"/>
        <v>0</v>
      </c>
      <c r="P51" s="16"/>
      <c r="Q51" s="16"/>
      <c r="R51" s="16"/>
      <c r="S51" s="19">
        <v>20000</v>
      </c>
      <c r="T51" s="24"/>
      <c r="U51" s="22"/>
      <c r="V51" s="26"/>
      <c r="W51" s="15"/>
      <c r="X51" s="17"/>
      <c r="Y51" s="20">
        <v>7.85</v>
      </c>
      <c r="Z51" s="16"/>
      <c r="AA51" s="16"/>
      <c r="AB51" s="16"/>
      <c r="AC51" s="16"/>
      <c r="AD51" s="16"/>
      <c r="AE51" s="18">
        <f t="shared" si="2"/>
        <v>0</v>
      </c>
      <c r="AF51" s="16"/>
      <c r="AG51" s="16"/>
      <c r="AH51" s="16"/>
      <c r="AI51" s="19">
        <v>20000</v>
      </c>
      <c r="AJ51" s="24"/>
    </row>
    <row r="52" spans="2:36" s="12" customFormat="1" ht="125.1" customHeight="1" x14ac:dyDescent="0.3">
      <c r="B52" s="13">
        <v>44</v>
      </c>
      <c r="C52" s="14"/>
      <c r="D52" s="14"/>
      <c r="E52" s="22"/>
      <c r="F52" s="26"/>
      <c r="G52" s="15"/>
      <c r="H52" s="17"/>
      <c r="I52" s="20">
        <v>7.85</v>
      </c>
      <c r="J52" s="16"/>
      <c r="K52" s="16"/>
      <c r="L52" s="16"/>
      <c r="M52" s="16"/>
      <c r="N52" s="16"/>
      <c r="O52" s="18">
        <f t="shared" si="0"/>
        <v>0</v>
      </c>
      <c r="P52" s="16"/>
      <c r="Q52" s="16"/>
      <c r="R52" s="16"/>
      <c r="S52" s="19">
        <v>20000</v>
      </c>
      <c r="T52" s="24"/>
      <c r="U52" s="22"/>
      <c r="V52" s="26"/>
      <c r="W52" s="15"/>
      <c r="X52" s="17"/>
      <c r="Y52" s="20">
        <v>7.85</v>
      </c>
      <c r="Z52" s="16"/>
      <c r="AA52" s="16"/>
      <c r="AB52" s="16"/>
      <c r="AC52" s="16"/>
      <c r="AD52" s="16"/>
      <c r="AE52" s="18">
        <f t="shared" si="2"/>
        <v>0</v>
      </c>
      <c r="AF52" s="16"/>
      <c r="AG52" s="16"/>
      <c r="AH52" s="16"/>
      <c r="AI52" s="19">
        <v>20000</v>
      </c>
      <c r="AJ52" s="24"/>
    </row>
    <row r="53" spans="2:36" s="12" customFormat="1" ht="125.1" customHeight="1" x14ac:dyDescent="0.3">
      <c r="B53" s="13">
        <v>45</v>
      </c>
      <c r="C53" s="14"/>
      <c r="D53" s="14"/>
      <c r="E53" s="22"/>
      <c r="F53" s="26"/>
      <c r="G53" s="15"/>
      <c r="H53" s="17"/>
      <c r="I53" s="20">
        <v>7.85</v>
      </c>
      <c r="J53" s="16"/>
      <c r="K53" s="16"/>
      <c r="L53" s="16"/>
      <c r="M53" s="16"/>
      <c r="N53" s="16"/>
      <c r="O53" s="18">
        <f t="shared" si="0"/>
        <v>0</v>
      </c>
      <c r="P53" s="16"/>
      <c r="Q53" s="16"/>
      <c r="R53" s="16"/>
      <c r="S53" s="19">
        <v>20000</v>
      </c>
      <c r="T53" s="24"/>
      <c r="U53" s="22"/>
      <c r="V53" s="26"/>
      <c r="W53" s="15"/>
      <c r="X53" s="17"/>
      <c r="Y53" s="20">
        <v>7.85</v>
      </c>
      <c r="Z53" s="16"/>
      <c r="AA53" s="16"/>
      <c r="AB53" s="16"/>
      <c r="AC53" s="16"/>
      <c r="AD53" s="16"/>
      <c r="AE53" s="18">
        <f t="shared" si="2"/>
        <v>0</v>
      </c>
      <c r="AF53" s="16"/>
      <c r="AG53" s="16"/>
      <c r="AH53" s="16"/>
      <c r="AI53" s="19">
        <v>20000</v>
      </c>
      <c r="AJ53" s="24"/>
    </row>
    <row r="54" spans="2:36" s="12" customFormat="1" ht="125.1" customHeight="1" x14ac:dyDescent="0.3">
      <c r="B54" s="13">
        <v>46</v>
      </c>
      <c r="C54" s="14"/>
      <c r="D54" s="14"/>
      <c r="E54" s="22"/>
      <c r="F54" s="26"/>
      <c r="G54" s="15"/>
      <c r="H54" s="17"/>
      <c r="I54" s="20">
        <v>7.85</v>
      </c>
      <c r="J54" s="16"/>
      <c r="K54" s="16"/>
      <c r="L54" s="16"/>
      <c r="M54" s="16"/>
      <c r="N54" s="16"/>
      <c r="O54" s="18">
        <f t="shared" si="0"/>
        <v>0</v>
      </c>
      <c r="P54" s="16"/>
      <c r="Q54" s="16"/>
      <c r="R54" s="16"/>
      <c r="S54" s="19">
        <v>20000</v>
      </c>
      <c r="T54" s="24"/>
      <c r="U54" s="22"/>
      <c r="V54" s="26"/>
      <c r="W54" s="15"/>
      <c r="X54" s="17"/>
      <c r="Y54" s="20">
        <v>7.85</v>
      </c>
      <c r="Z54" s="16"/>
      <c r="AA54" s="16"/>
      <c r="AB54" s="16"/>
      <c r="AC54" s="16"/>
      <c r="AD54" s="16"/>
      <c r="AE54" s="18">
        <f t="shared" si="2"/>
        <v>0</v>
      </c>
      <c r="AF54" s="16"/>
      <c r="AG54" s="16"/>
      <c r="AH54" s="16"/>
      <c r="AI54" s="19">
        <v>20000</v>
      </c>
      <c r="AJ54" s="24"/>
    </row>
    <row r="55" spans="2:36" s="12" customFormat="1" ht="125.1" customHeight="1" x14ac:dyDescent="0.3">
      <c r="B55" s="13">
        <v>47</v>
      </c>
      <c r="C55" s="14"/>
      <c r="D55" s="14"/>
      <c r="E55" s="22"/>
      <c r="F55" s="26"/>
      <c r="G55" s="15"/>
      <c r="H55" s="17"/>
      <c r="I55" s="20">
        <v>7.85</v>
      </c>
      <c r="J55" s="16"/>
      <c r="K55" s="16"/>
      <c r="L55" s="16"/>
      <c r="M55" s="16"/>
      <c r="N55" s="16"/>
      <c r="O55" s="18">
        <f t="shared" si="0"/>
        <v>0</v>
      </c>
      <c r="P55" s="16"/>
      <c r="Q55" s="16"/>
      <c r="R55" s="16"/>
      <c r="S55" s="19">
        <v>20000</v>
      </c>
      <c r="T55" s="24"/>
      <c r="U55" s="22"/>
      <c r="V55" s="26"/>
      <c r="W55" s="15"/>
      <c r="X55" s="17"/>
      <c r="Y55" s="20">
        <v>7.85</v>
      </c>
      <c r="Z55" s="16"/>
      <c r="AA55" s="16"/>
      <c r="AB55" s="16"/>
      <c r="AC55" s="16"/>
      <c r="AD55" s="16"/>
      <c r="AE55" s="18">
        <f t="shared" si="2"/>
        <v>0</v>
      </c>
      <c r="AF55" s="16"/>
      <c r="AG55" s="16"/>
      <c r="AH55" s="16"/>
      <c r="AI55" s="19">
        <v>20000</v>
      </c>
      <c r="AJ55" s="24"/>
    </row>
    <row r="56" spans="2:36" s="12" customFormat="1" ht="125.1" customHeight="1" x14ac:dyDescent="0.3">
      <c r="B56" s="13">
        <v>48</v>
      </c>
      <c r="C56" s="14"/>
      <c r="D56" s="14"/>
      <c r="E56" s="22"/>
      <c r="F56" s="26"/>
      <c r="G56" s="15"/>
      <c r="H56" s="17"/>
      <c r="I56" s="20">
        <v>7.85</v>
      </c>
      <c r="J56" s="16"/>
      <c r="K56" s="16"/>
      <c r="L56" s="16"/>
      <c r="M56" s="16"/>
      <c r="N56" s="16"/>
      <c r="O56" s="18">
        <f t="shared" si="0"/>
        <v>0</v>
      </c>
      <c r="P56" s="16"/>
      <c r="Q56" s="16"/>
      <c r="R56" s="16"/>
      <c r="S56" s="19">
        <v>20000</v>
      </c>
      <c r="T56" s="24"/>
      <c r="U56" s="22"/>
      <c r="V56" s="26"/>
      <c r="W56" s="15"/>
      <c r="X56" s="17"/>
      <c r="Y56" s="20">
        <v>7.85</v>
      </c>
      <c r="Z56" s="16"/>
      <c r="AA56" s="16"/>
      <c r="AB56" s="16"/>
      <c r="AC56" s="16"/>
      <c r="AD56" s="16"/>
      <c r="AE56" s="18">
        <f t="shared" si="2"/>
        <v>0</v>
      </c>
      <c r="AF56" s="16"/>
      <c r="AG56" s="16"/>
      <c r="AH56" s="16"/>
      <c r="AI56" s="19">
        <v>20000</v>
      </c>
      <c r="AJ56" s="24"/>
    </row>
    <row r="57" spans="2:36" s="12" customFormat="1" ht="125.1" customHeight="1" x14ac:dyDescent="0.3">
      <c r="B57" s="13">
        <v>49</v>
      </c>
      <c r="C57" s="14"/>
      <c r="D57" s="14"/>
      <c r="E57" s="22"/>
      <c r="F57" s="26"/>
      <c r="G57" s="15"/>
      <c r="H57" s="17"/>
      <c r="I57" s="20">
        <v>7.85</v>
      </c>
      <c r="J57" s="16"/>
      <c r="K57" s="16"/>
      <c r="L57" s="16"/>
      <c r="M57" s="16"/>
      <c r="N57" s="16"/>
      <c r="O57" s="18">
        <f t="shared" si="0"/>
        <v>0</v>
      </c>
      <c r="P57" s="16"/>
      <c r="Q57" s="16"/>
      <c r="R57" s="16"/>
      <c r="S57" s="19">
        <v>20000</v>
      </c>
      <c r="T57" s="24"/>
      <c r="U57" s="22"/>
      <c r="V57" s="26"/>
      <c r="W57" s="15"/>
      <c r="X57" s="17"/>
      <c r="Y57" s="20">
        <v>7.85</v>
      </c>
      <c r="Z57" s="16"/>
      <c r="AA57" s="16"/>
      <c r="AB57" s="16"/>
      <c r="AC57" s="16"/>
      <c r="AD57" s="16"/>
      <c r="AE57" s="18">
        <f t="shared" si="2"/>
        <v>0</v>
      </c>
      <c r="AF57" s="16"/>
      <c r="AG57" s="16"/>
      <c r="AH57" s="16"/>
      <c r="AI57" s="19">
        <v>20000</v>
      </c>
      <c r="AJ57" s="24"/>
    </row>
    <row r="58" spans="2:36" s="12" customFormat="1" ht="125.1" customHeight="1" x14ac:dyDescent="0.3">
      <c r="B58" s="13">
        <v>50</v>
      </c>
      <c r="C58" s="14"/>
      <c r="D58" s="14"/>
      <c r="E58" s="22"/>
      <c r="F58" s="26"/>
      <c r="G58" s="15"/>
      <c r="H58" s="17"/>
      <c r="I58" s="20">
        <v>7.85</v>
      </c>
      <c r="J58" s="16"/>
      <c r="K58" s="16"/>
      <c r="L58" s="16"/>
      <c r="M58" s="16"/>
      <c r="N58" s="16"/>
      <c r="O58" s="18">
        <f t="shared" si="0"/>
        <v>0</v>
      </c>
      <c r="P58" s="16"/>
      <c r="Q58" s="16"/>
      <c r="R58" s="16"/>
      <c r="S58" s="19">
        <v>20000</v>
      </c>
      <c r="T58" s="24"/>
      <c r="U58" s="22"/>
      <c r="V58" s="26"/>
      <c r="W58" s="15"/>
      <c r="X58" s="17"/>
      <c r="Y58" s="20">
        <v>7.85</v>
      </c>
      <c r="Z58" s="16"/>
      <c r="AA58" s="16"/>
      <c r="AB58" s="16"/>
      <c r="AC58" s="16"/>
      <c r="AD58" s="16"/>
      <c r="AE58" s="18">
        <f t="shared" si="2"/>
        <v>0</v>
      </c>
      <c r="AF58" s="16"/>
      <c r="AG58" s="16"/>
      <c r="AH58" s="16"/>
      <c r="AI58" s="19">
        <v>20000</v>
      </c>
      <c r="AJ58" s="24"/>
    </row>
    <row r="59" spans="2:36" s="12" customFormat="1" ht="124.5" customHeight="1" x14ac:dyDescent="0.3">
      <c r="B59" s="13">
        <v>51</v>
      </c>
      <c r="C59" s="14"/>
      <c r="D59" s="14"/>
      <c r="E59" s="22"/>
      <c r="F59" s="26"/>
      <c r="G59" s="15"/>
      <c r="H59" s="17"/>
      <c r="I59" s="20">
        <v>7.85</v>
      </c>
      <c r="J59" s="16"/>
      <c r="K59" s="16"/>
      <c r="L59" s="16"/>
      <c r="M59" s="16"/>
      <c r="N59" s="16"/>
      <c r="O59" s="18">
        <f t="shared" si="0"/>
        <v>0</v>
      </c>
      <c r="P59" s="16"/>
      <c r="Q59" s="16"/>
      <c r="R59" s="16"/>
      <c r="S59" s="19">
        <v>20000</v>
      </c>
      <c r="T59" s="24"/>
      <c r="U59" s="22"/>
      <c r="V59" s="26"/>
      <c r="W59" s="15"/>
      <c r="X59" s="17"/>
      <c r="Y59" s="20">
        <v>7.85</v>
      </c>
      <c r="Z59" s="16"/>
      <c r="AA59" s="16"/>
      <c r="AB59" s="16"/>
      <c r="AC59" s="16"/>
      <c r="AD59" s="16"/>
      <c r="AE59" s="18">
        <f t="shared" si="2"/>
        <v>0</v>
      </c>
      <c r="AF59" s="16"/>
      <c r="AG59" s="16"/>
      <c r="AH59" s="16"/>
      <c r="AI59" s="19">
        <v>20000</v>
      </c>
      <c r="AJ59" s="24"/>
    </row>
    <row r="60" spans="2:36" s="12" customFormat="1" ht="125.1" customHeight="1" x14ac:dyDescent="0.3">
      <c r="B60" s="13">
        <v>52</v>
      </c>
      <c r="C60" s="14"/>
      <c r="D60" s="14"/>
      <c r="E60" s="22"/>
      <c r="F60" s="26"/>
      <c r="G60" s="15"/>
      <c r="H60" s="17"/>
      <c r="I60" s="20">
        <v>7.85</v>
      </c>
      <c r="J60" s="16"/>
      <c r="K60" s="16"/>
      <c r="L60" s="16"/>
      <c r="M60" s="16"/>
      <c r="N60" s="16"/>
      <c r="O60" s="18">
        <f t="shared" si="0"/>
        <v>0</v>
      </c>
      <c r="P60" s="16"/>
      <c r="Q60" s="16"/>
      <c r="R60" s="16"/>
      <c r="S60" s="19">
        <v>20000</v>
      </c>
      <c r="T60" s="24"/>
      <c r="U60" s="22"/>
      <c r="V60" s="26"/>
      <c r="W60" s="15"/>
      <c r="X60" s="17"/>
      <c r="Y60" s="20">
        <v>7.85</v>
      </c>
      <c r="Z60" s="16"/>
      <c r="AA60" s="16"/>
      <c r="AB60" s="16"/>
      <c r="AC60" s="16"/>
      <c r="AD60" s="16"/>
      <c r="AE60" s="18">
        <f t="shared" si="2"/>
        <v>0</v>
      </c>
      <c r="AF60" s="16"/>
      <c r="AG60" s="16"/>
      <c r="AH60" s="16"/>
      <c r="AI60" s="19">
        <v>20000</v>
      </c>
      <c r="AJ60" s="24"/>
    </row>
    <row r="61" spans="2:36" s="12" customFormat="1" ht="125.1" customHeight="1" x14ac:dyDescent="0.3">
      <c r="B61" s="13">
        <v>53</v>
      </c>
      <c r="C61" s="14"/>
      <c r="D61" s="14"/>
      <c r="E61" s="22"/>
      <c r="F61" s="26"/>
      <c r="G61" s="15"/>
      <c r="H61" s="17"/>
      <c r="I61" s="20">
        <v>7.85</v>
      </c>
      <c r="J61" s="16"/>
      <c r="K61" s="16"/>
      <c r="L61" s="16"/>
      <c r="M61" s="16"/>
      <c r="N61" s="16"/>
      <c r="O61" s="18">
        <f t="shared" si="0"/>
        <v>0</v>
      </c>
      <c r="P61" s="16"/>
      <c r="Q61" s="16"/>
      <c r="R61" s="16"/>
      <c r="S61" s="19">
        <v>20000</v>
      </c>
      <c r="T61" s="24"/>
      <c r="U61" s="22"/>
      <c r="V61" s="26"/>
      <c r="W61" s="15"/>
      <c r="X61" s="17"/>
      <c r="Y61" s="20">
        <v>7.85</v>
      </c>
      <c r="Z61" s="16"/>
      <c r="AA61" s="16"/>
      <c r="AB61" s="16"/>
      <c r="AC61" s="16"/>
      <c r="AD61" s="16"/>
      <c r="AE61" s="18">
        <f t="shared" si="2"/>
        <v>0</v>
      </c>
      <c r="AF61" s="16"/>
      <c r="AG61" s="16"/>
      <c r="AH61" s="16"/>
      <c r="AI61" s="19">
        <v>20000</v>
      </c>
      <c r="AJ61" s="24"/>
    </row>
    <row r="62" spans="2:36" s="12" customFormat="1" ht="125.1" customHeight="1" x14ac:dyDescent="0.3">
      <c r="B62" s="13">
        <v>54</v>
      </c>
      <c r="C62" s="14"/>
      <c r="D62" s="14"/>
      <c r="E62" s="22"/>
      <c r="F62" s="26"/>
      <c r="G62" s="15"/>
      <c r="H62" s="17"/>
      <c r="I62" s="20">
        <v>7.85</v>
      </c>
      <c r="J62" s="16"/>
      <c r="K62" s="16"/>
      <c r="L62" s="16"/>
      <c r="M62" s="16"/>
      <c r="N62" s="16"/>
      <c r="O62" s="18">
        <f t="shared" si="0"/>
        <v>0</v>
      </c>
      <c r="P62" s="16"/>
      <c r="Q62" s="16"/>
      <c r="R62" s="16"/>
      <c r="S62" s="19">
        <v>20000</v>
      </c>
      <c r="T62" s="24"/>
      <c r="U62" s="22"/>
      <c r="V62" s="26"/>
      <c r="W62" s="15"/>
      <c r="X62" s="17"/>
      <c r="Y62" s="20">
        <v>7.85</v>
      </c>
      <c r="Z62" s="16"/>
      <c r="AA62" s="16"/>
      <c r="AB62" s="16"/>
      <c r="AC62" s="16"/>
      <c r="AD62" s="16"/>
      <c r="AE62" s="18">
        <f t="shared" si="2"/>
        <v>0</v>
      </c>
      <c r="AF62" s="16"/>
      <c r="AG62" s="16"/>
      <c r="AH62" s="16"/>
      <c r="AI62" s="19">
        <v>20000</v>
      </c>
      <c r="AJ62" s="24"/>
    </row>
    <row r="63" spans="2:36" s="12" customFormat="1" ht="125.1" customHeight="1" x14ac:dyDescent="0.3">
      <c r="B63" s="13">
        <v>55</v>
      </c>
      <c r="C63" s="14"/>
      <c r="D63" s="14"/>
      <c r="E63" s="22"/>
      <c r="F63" s="26"/>
      <c r="G63" s="15"/>
      <c r="H63" s="17"/>
      <c r="I63" s="20">
        <v>7.85</v>
      </c>
      <c r="J63" s="16"/>
      <c r="K63" s="16"/>
      <c r="L63" s="16"/>
      <c r="M63" s="16"/>
      <c r="N63" s="16"/>
      <c r="O63" s="18">
        <f t="shared" si="0"/>
        <v>0</v>
      </c>
      <c r="P63" s="16"/>
      <c r="Q63" s="16"/>
      <c r="R63" s="16"/>
      <c r="S63" s="19">
        <v>20000</v>
      </c>
      <c r="T63" s="24"/>
      <c r="U63" s="22"/>
      <c r="V63" s="26"/>
      <c r="W63" s="15"/>
      <c r="X63" s="17"/>
      <c r="Y63" s="20">
        <v>7.85</v>
      </c>
      <c r="Z63" s="16"/>
      <c r="AA63" s="16"/>
      <c r="AB63" s="16"/>
      <c r="AC63" s="16"/>
      <c r="AD63" s="16"/>
      <c r="AE63" s="18">
        <f t="shared" si="2"/>
        <v>0</v>
      </c>
      <c r="AF63" s="16"/>
      <c r="AG63" s="16"/>
      <c r="AH63" s="16"/>
      <c r="AI63" s="19">
        <v>20000</v>
      </c>
      <c r="AJ63" s="24"/>
    </row>
    <row r="64" spans="2:36" s="12" customFormat="1" ht="125.1" customHeight="1" x14ac:dyDescent="0.3">
      <c r="B64" s="13">
        <v>56</v>
      </c>
      <c r="C64" s="14"/>
      <c r="D64" s="14"/>
      <c r="E64" s="22"/>
      <c r="F64" s="26"/>
      <c r="G64" s="15"/>
      <c r="H64" s="17"/>
      <c r="I64" s="20">
        <v>7.85</v>
      </c>
      <c r="J64" s="16"/>
      <c r="K64" s="16"/>
      <c r="L64" s="16"/>
      <c r="M64" s="16"/>
      <c r="N64" s="16"/>
      <c r="O64" s="18">
        <f t="shared" si="0"/>
        <v>0</v>
      </c>
      <c r="P64" s="16"/>
      <c r="Q64" s="16"/>
      <c r="R64" s="16"/>
      <c r="S64" s="19">
        <v>20000</v>
      </c>
      <c r="T64" s="24"/>
      <c r="U64" s="22"/>
      <c r="V64" s="26"/>
      <c r="W64" s="15"/>
      <c r="X64" s="17"/>
      <c r="Y64" s="20">
        <v>7.85</v>
      </c>
      <c r="Z64" s="16"/>
      <c r="AA64" s="16"/>
      <c r="AB64" s="16"/>
      <c r="AC64" s="16"/>
      <c r="AD64" s="16"/>
      <c r="AE64" s="18">
        <f t="shared" si="2"/>
        <v>0</v>
      </c>
      <c r="AF64" s="16"/>
      <c r="AG64" s="16"/>
      <c r="AH64" s="16"/>
      <c r="AI64" s="19">
        <v>20000</v>
      </c>
      <c r="AJ64" s="24"/>
    </row>
    <row r="65" spans="2:36" s="12" customFormat="1" ht="125.1" customHeight="1" x14ac:dyDescent="0.3">
      <c r="B65" s="13">
        <v>57</v>
      </c>
      <c r="C65" s="14"/>
      <c r="D65" s="14"/>
      <c r="E65" s="22"/>
      <c r="F65" s="26"/>
      <c r="G65" s="15"/>
      <c r="H65" s="17"/>
      <c r="I65" s="20">
        <v>7.85</v>
      </c>
      <c r="J65" s="16"/>
      <c r="K65" s="16"/>
      <c r="L65" s="16"/>
      <c r="M65" s="16"/>
      <c r="N65" s="16"/>
      <c r="O65" s="18">
        <f t="shared" si="0"/>
        <v>0</v>
      </c>
      <c r="P65" s="16"/>
      <c r="Q65" s="16"/>
      <c r="R65" s="16"/>
      <c r="S65" s="19">
        <v>20000</v>
      </c>
      <c r="T65" s="24"/>
      <c r="U65" s="22"/>
      <c r="V65" s="26"/>
      <c r="W65" s="15"/>
      <c r="X65" s="17"/>
      <c r="Y65" s="20">
        <v>7.85</v>
      </c>
      <c r="Z65" s="16"/>
      <c r="AA65" s="16"/>
      <c r="AB65" s="16"/>
      <c r="AC65" s="16"/>
      <c r="AD65" s="16"/>
      <c r="AE65" s="18">
        <f t="shared" si="2"/>
        <v>0</v>
      </c>
      <c r="AF65" s="16"/>
      <c r="AG65" s="16"/>
      <c r="AH65" s="16"/>
      <c r="AI65" s="19">
        <v>20000</v>
      </c>
      <c r="AJ65" s="24"/>
    </row>
    <row r="66" spans="2:36" s="12" customFormat="1" ht="124.5" customHeight="1" x14ac:dyDescent="0.3">
      <c r="B66" s="13">
        <v>58</v>
      </c>
      <c r="C66" s="14"/>
      <c r="D66" s="14"/>
      <c r="E66" s="22"/>
      <c r="F66" s="26"/>
      <c r="G66" s="15"/>
      <c r="H66" s="17"/>
      <c r="I66" s="20">
        <v>7.85</v>
      </c>
      <c r="J66" s="16"/>
      <c r="K66" s="16"/>
      <c r="L66" s="16"/>
      <c r="M66" s="16"/>
      <c r="N66" s="16"/>
      <c r="O66" s="18">
        <f t="shared" si="0"/>
        <v>0</v>
      </c>
      <c r="P66" s="16"/>
      <c r="Q66" s="16"/>
      <c r="R66" s="16"/>
      <c r="S66" s="19">
        <v>20000</v>
      </c>
      <c r="T66" s="24"/>
      <c r="U66" s="22"/>
      <c r="V66" s="26"/>
      <c r="W66" s="15"/>
      <c r="X66" s="17"/>
      <c r="Y66" s="20">
        <v>7.85</v>
      </c>
      <c r="Z66" s="16"/>
      <c r="AA66" s="16"/>
      <c r="AB66" s="16"/>
      <c r="AC66" s="16"/>
      <c r="AD66" s="16"/>
      <c r="AE66" s="18">
        <f t="shared" si="2"/>
        <v>0</v>
      </c>
      <c r="AF66" s="16"/>
      <c r="AG66" s="16"/>
      <c r="AH66" s="16"/>
      <c r="AI66" s="19">
        <v>20000</v>
      </c>
      <c r="AJ66" s="24"/>
    </row>
    <row r="67" spans="2:36" s="12" customFormat="1" ht="125.1" customHeight="1" x14ac:dyDescent="0.3">
      <c r="B67" s="13">
        <v>59</v>
      </c>
      <c r="C67" s="14"/>
      <c r="D67" s="14"/>
      <c r="E67" s="22"/>
      <c r="F67" s="26"/>
      <c r="G67" s="15"/>
      <c r="H67" s="17"/>
      <c r="I67" s="20">
        <v>7.85</v>
      </c>
      <c r="J67" s="16"/>
      <c r="K67" s="16"/>
      <c r="L67" s="16"/>
      <c r="M67" s="16"/>
      <c r="N67" s="16"/>
      <c r="O67" s="18">
        <f t="shared" si="0"/>
        <v>0</v>
      </c>
      <c r="P67" s="16"/>
      <c r="Q67" s="16"/>
      <c r="R67" s="16"/>
      <c r="S67" s="19">
        <v>20000</v>
      </c>
      <c r="T67" s="24"/>
      <c r="U67" s="22"/>
      <c r="V67" s="26"/>
      <c r="W67" s="15"/>
      <c r="X67" s="17"/>
      <c r="Y67" s="20">
        <v>7.85</v>
      </c>
      <c r="Z67" s="16"/>
      <c r="AA67" s="16"/>
      <c r="AB67" s="16"/>
      <c r="AC67" s="16"/>
      <c r="AD67" s="16"/>
      <c r="AE67" s="18">
        <f t="shared" si="2"/>
        <v>0</v>
      </c>
      <c r="AF67" s="16"/>
      <c r="AG67" s="16"/>
      <c r="AH67" s="16"/>
      <c r="AI67" s="19">
        <v>20000</v>
      </c>
      <c r="AJ67" s="24"/>
    </row>
  </sheetData>
  <autoFilter ref="B6:AJ67" xr:uid="{00000000-0009-0000-0000-00001B000000}"/>
  <mergeCells count="41">
    <mergeCell ref="E1:T1"/>
    <mergeCell ref="E2:P2"/>
    <mergeCell ref="S2:S5"/>
    <mergeCell ref="T2:T5"/>
    <mergeCell ref="E3:E5"/>
    <mergeCell ref="F3:F5"/>
    <mergeCell ref="G3:G5"/>
    <mergeCell ref="H3:H5"/>
    <mergeCell ref="I3:I5"/>
    <mergeCell ref="J3:M3"/>
    <mergeCell ref="N3:N5"/>
    <mergeCell ref="O3:O5"/>
    <mergeCell ref="Y3:Y5"/>
    <mergeCell ref="AE3:AE5"/>
    <mergeCell ref="W3:W5"/>
    <mergeCell ref="K4:K5"/>
    <mergeCell ref="L4:L5"/>
    <mergeCell ref="M4:M5"/>
    <mergeCell ref="V3:V5"/>
    <mergeCell ref="AJ2:AJ5"/>
    <mergeCell ref="AD3:AD5"/>
    <mergeCell ref="P3:P5"/>
    <mergeCell ref="U1:AJ1"/>
    <mergeCell ref="AI2:AI5"/>
    <mergeCell ref="X3:X5"/>
    <mergeCell ref="Z4:Z5"/>
    <mergeCell ref="AA4:AA5"/>
    <mergeCell ref="AC4:AC5"/>
    <mergeCell ref="AB4:AB5"/>
    <mergeCell ref="AF3:AF5"/>
    <mergeCell ref="Z3:AC3"/>
    <mergeCell ref="U2:AF2"/>
    <mergeCell ref="AG3:AG5"/>
    <mergeCell ref="AH3:AH5"/>
    <mergeCell ref="U3:U5"/>
    <mergeCell ref="B2:B5"/>
    <mergeCell ref="C2:C5"/>
    <mergeCell ref="D2:D5"/>
    <mergeCell ref="Q3:Q5"/>
    <mergeCell ref="R3:R5"/>
    <mergeCell ref="J4:J5"/>
  </mergeCells>
  <phoneticPr fontId="14" type="noConversion"/>
  <printOptions horizontalCentered="1"/>
  <pageMargins left="0" right="0" top="0" bottom="0" header="0" footer="0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Satria Pangestu</dc:creator>
  <cp:lastModifiedBy>Reza Satria Pangestu</cp:lastModifiedBy>
  <dcterms:created xsi:type="dcterms:W3CDTF">2026-03-17T04:34:08Z</dcterms:created>
  <dcterms:modified xsi:type="dcterms:W3CDTF">2026-04-28T06:16:09Z</dcterms:modified>
</cp:coreProperties>
</file>